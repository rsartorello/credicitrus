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DocumentosDepartamentos/Gesto Integrada de Riscos/Arquivos Migrados F/PROJETOS/S3/2022 - IMPLEMENTAÇÃO/PILAR 3/2025_4T_Relatório_Trimestral/"/>
    </mc:Choice>
  </mc:AlternateContent>
  <xr:revisionPtr revIDLastSave="139" documentId="8_{E9223246-9D77-4A36-92CC-501B3DCC0ED5}" xr6:coauthVersionLast="47" xr6:coauthVersionMax="47" xr10:uidLastSave="{2509BC5C-D5B3-4349-9699-7F6F4E60CCBA}"/>
  <bookViews>
    <workbookView xWindow="-108" yWindow="-108" windowWidth="23256" windowHeight="13896" tabRatio="822" xr2:uid="{39688AF1-0573-4460-B9F1-FF20579AD0B9}"/>
  </bookViews>
  <sheets>
    <sheet name="Índice" sheetId="1" r:id="rId1"/>
    <sheet name="KM1" sheetId="31" r:id="rId2"/>
    <sheet name="OV1" sheetId="23" r:id="rId3"/>
    <sheet name="CR1" sheetId="9" r:id="rId4"/>
    <sheet name="CR2" sheetId="24" r:id="rId5"/>
    <sheet name="CRB" sheetId="25" r:id="rId6"/>
    <sheet name="MR1" sheetId="2" r:id="rId7"/>
    <sheet name="Derivativos" sheetId="3" r:id="rId8"/>
    <sheet name="IRRBB1" sheetId="10" r:id="rId9"/>
    <sheet name="OR1" sheetId="26" r:id="rId10"/>
    <sheet name="OR2" sheetId="27" r:id="rId11"/>
    <sheet name="OR3" sheetId="28" r:id="rId12"/>
    <sheet name="Derivativos DA" sheetId="22" state="hidden" r:id="rId13"/>
  </sheets>
  <externalReferences>
    <externalReference r:id="rId14"/>
    <externalReference r:id="rId15"/>
  </externalReferences>
  <definedNames>
    <definedName name="_AMO_UniqueIdentifier">"'14c51401-3bb6-4eea-a14d-ab0fea1b2e9a'"</definedName>
    <definedName name="_xlnm._FilterDatabase" localSheetId="3" hidden="1">'CR1'!$B$2:$D$35</definedName>
    <definedName name="_xlnm._FilterDatabase" localSheetId="4" hidden="1">'CR2'!$B$3:$E$3</definedName>
    <definedName name="_xlnm._FilterDatabase" localSheetId="5" hidden="1">CRB!#REF!</definedName>
    <definedName name="_xlnm._FilterDatabase" localSheetId="1" hidden="1">'KM1'!$B$3:$I$3</definedName>
    <definedName name="_xlnm._FilterDatabase" localSheetId="9" hidden="1">'OR1'!$B$4:$O$12</definedName>
    <definedName name="_xlnm._FilterDatabase" localSheetId="11" hidden="1">'OR3'!$B$5:$E$11</definedName>
    <definedName name="F1801119" localSheetId="12">'[1]Provisão 04-2013'!#REF!</definedName>
    <definedName name="F1801119">'[1]Provisão 04-2013'!#REF!</definedName>
    <definedName name="TABELA018" localSheetId="12">[2]RWAOPAD!#REF!</definedName>
    <definedName name="TABELA018">[2]RWAOPAD!#REF!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0" l="1"/>
  <c r="D14" i="10"/>
  <c r="B5" i="22" l="1"/>
  <c r="E11" i="22"/>
  <c r="D11" i="22"/>
  <c r="E39" i="22"/>
  <c r="D39" i="22"/>
  <c r="E30" i="22"/>
  <c r="D30" i="22"/>
  <c r="E21" i="22"/>
  <c r="D21" i="22"/>
  <c r="E12" i="22"/>
  <c r="D12" i="22"/>
  <c r="E16" i="2" l="1"/>
  <c r="D16" i="2" l="1"/>
  <c r="D13" i="10" l="1"/>
  <c r="E13" i="10"/>
  <c r="G13" i="10" l="1"/>
  <c r="F13" i="10"/>
</calcChain>
</file>

<file path=xl/sharedStrings.xml><?xml version="1.0" encoding="utf-8"?>
<sst xmlns="http://schemas.openxmlformats.org/spreadsheetml/2006/main" count="663" uniqueCount="323">
  <si>
    <t xml:space="preserve">     1. Indicadores prudenciais e gerenciamento de riscos</t>
  </si>
  <si>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</si>
  <si>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</si>
  <si>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2. Risco de Crédito</t>
  </si>
  <si>
    <t xml:space="preserve">             CR1 - Qualidade creditícia das exposições</t>
  </si>
  <si>
    <t xml:space="preserve">             CR2 - Mudança no estoque de ativos problemáticos</t>
  </si>
  <si>
    <t xml:space="preserve">             CRB - Informações adicionais sobre a qualidade creditícia das exposições</t>
  </si>
  <si>
    <t xml:space="preserve">             CR2 - Mudanças no estoque de operações em curso anormal</t>
  </si>
  <si>
    <t xml:space="preserve">     3. Risco de Mercado</t>
  </si>
  <si>
    <t xml:space="preserve">             MR1 - Abordagem padronizada - fatores de risco associados ao risco de mercado</t>
  </si>
  <si>
    <t xml:space="preserve">     4. Risco de Variação das Taxas de Juros na Carteira Bancária (IRRBB)</t>
  </si>
  <si>
    <t xml:space="preserve">             IRRBB1 - Informações quantitativas sobre o IRRBB</t>
  </si>
  <si>
    <t xml:space="preserve">     5. Risco Operacional</t>
  </si>
  <si>
    <t xml:space="preserve">             OR1 - Histórico de perdas operacionais</t>
  </si>
  <si>
    <t xml:space="preserve">             OR2 - Composição do Indicador de Negócios (BI)</t>
  </si>
  <si>
    <t xml:space="preserve">             OR3 - requerimento de capital para o risco operacional</t>
  </si>
  <si>
    <t xml:space="preserve">     6. Derivativos</t>
  </si>
  <si>
    <t>Informações do 4º trimestre de 2025 - 31/12/2025</t>
  </si>
  <si>
    <t>R$ mil</t>
  </si>
  <si>
    <t>a</t>
  </si>
  <si>
    <t>b</t>
  </si>
  <si>
    <t>c</t>
  </si>
  <si>
    <t>d</t>
  </si>
  <si>
    <t>e</t>
  </si>
  <si>
    <t>Capital Principal</t>
  </si>
  <si>
    <t>1a</t>
  </si>
  <si>
    <t xml:space="preserve"> -   </t>
  </si>
  <si>
    <t>Nível I</t>
  </si>
  <si>
    <t>2a</t>
  </si>
  <si>
    <t>Nível I considerando a apuração do Capital Principal conforme linha 1a</t>
  </si>
  <si>
    <t>Patrimônio de Referência (PR)</t>
  </si>
  <si>
    <t>3a</t>
  </si>
  <si>
    <t>Patrimônio de Referência (PR) considerando a apuração do Capital Principal conforme linha 1a</t>
  </si>
  <si>
    <t>3b</t>
  </si>
  <si>
    <t>Excesso dos recursos aplicados no ativo permanente</t>
  </si>
  <si>
    <t>3b1</t>
  </si>
  <si>
    <t>Excesso dos recursos aplicados no ativo permanente considerando o PR conforme linha 3a</t>
  </si>
  <si>
    <t>3c</t>
  </si>
  <si>
    <t>Destaque do PR</t>
  </si>
  <si>
    <t>4b</t>
  </si>
  <si>
    <t>Capital regulamentar como proporção do RWA</t>
  </si>
  <si>
    <t>Índice de Capital Principal (ICP)</t>
  </si>
  <si>
    <t>5a</t>
  </si>
  <si>
    <t>Índice de Nível 1 (%)</t>
  </si>
  <si>
    <t>6a</t>
  </si>
  <si>
    <t>Índice de Basileia</t>
  </si>
  <si>
    <t>7a</t>
  </si>
  <si>
    <t>Adicional de Capital Principal (ACP) como proporção do RWA</t>
  </si>
  <si>
    <t>12a</t>
  </si>
  <si>
    <t>Margem excedente de Capital Principal (%) considerando o Capital Principal conforme linha 1a</t>
  </si>
  <si>
    <t>Razão de Alavancagem (RA)</t>
  </si>
  <si>
    <t>Exposição total</t>
  </si>
  <si>
    <t>13a</t>
  </si>
  <si>
    <t>RA (%)</t>
  </si>
  <si>
    <t>14a</t>
  </si>
  <si>
    <t>Indicador de Liquidez de Curto Prazo (LCR)</t>
  </si>
  <si>
    <t>Total de Ativos de Alta Liquidez (HQLA)</t>
  </si>
  <si>
    <t>NA</t>
  </si>
  <si>
    <t>Total de saídas líquidas de caixa</t>
  </si>
  <si>
    <t>LCR (%)</t>
  </si>
  <si>
    <t>Indicador de Liquidez de Longo Prazo (NSFR)</t>
  </si>
  <si>
    <t>Recursos estáveis disponíveis (ASF)</t>
  </si>
  <si>
    <t>Recursos estáveis requeridos (RSF)</t>
  </si>
  <si>
    <t>NSFR (%)</t>
  </si>
  <si>
    <t>RWA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</si>
  <si>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</si>
  <si>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</si>
  <si>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</si>
  <si>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</si>
  <si>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</si>
  <si>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Risco de mercado</t>
  </si>
  <si>
    <t>Risco operacional</t>
  </si>
  <si>
    <t>I</t>
  </si>
  <si>
    <t>Valores referentes às exposições não deduzidas no cálculo do PR</t>
  </si>
  <si>
    <t>Total</t>
  </si>
  <si>
    <t>f</t>
  </si>
  <si>
    <t>g</t>
  </si>
  <si>
    <t>Valor Bruto</t>
  </si>
  <si>
    <t>Valor Líquido</t>
  </si>
  <si>
    <t>Exposições caracterizadas como ativos problemáticos</t>
  </si>
  <si>
    <t>Exposições não caracterizadas como ativos problemáticos</t>
  </si>
  <si>
    <t>Concessão de crédito</t>
  </si>
  <si>
    <t>Títulos de dívida</t>
  </si>
  <si>
    <t>2b</t>
  </si>
  <si>
    <t>Operações não contabilizadas no balanço patrimonial</t>
  </si>
  <si>
    <t>Valor das exposições classificadas como ativos problemáticos ao final do período anterior</t>
  </si>
  <si>
    <t>Valor das exposições que passaram a ser classificadas como ativos problemáticos no período corrente</t>
  </si>
  <si>
    <t>Valor das exposições que deixaram de ser caracterizadas como ativos problemáticos no período corrente</t>
  </si>
  <si>
    <t>Valor da baixa contábil por prejuízo</t>
  </si>
  <si>
    <t>Outros ajustes</t>
  </si>
  <si>
    <t>Total das exposições</t>
  </si>
  <si>
    <t>Total das exposições por regiões geográficas</t>
  </si>
  <si>
    <t>Centro Oeste</t>
  </si>
  <si>
    <t>Nordeste</t>
  </si>
  <si>
    <t>Norte</t>
  </si>
  <si>
    <t>Sudeste</t>
  </si>
  <si>
    <t>Sul</t>
  </si>
  <si>
    <t>Total das exposições por prazo remanescente de vencimento</t>
  </si>
  <si>
    <t>Até 6 meses</t>
  </si>
  <si>
    <t>Acima de 6 meses até 1 ano</t>
  </si>
  <si>
    <t>Acima de 5 anos</t>
  </si>
  <si>
    <t>Total das exposições por setor econômico</t>
  </si>
  <si>
    <t xml:space="preserve">        Tesouro Nacional</t>
  </si>
  <si>
    <t xml:space="preserve">        Bancos e outras Instituições Financeiras</t>
  </si>
  <si>
    <t>Operações não contabilizadas no Balanço Patrimonial</t>
  </si>
  <si>
    <t>Total das operações classificadas como ativos problemáticos</t>
  </si>
  <si>
    <t>Valor das operações classificadas como ativos problemáticos</t>
  </si>
  <si>
    <t>h</t>
  </si>
  <si>
    <t>Segregação do total das exposições reestruturadas</t>
  </si>
  <si>
    <t>Operações classificadas como ativos problemáticos</t>
  </si>
  <si>
    <t>Demais operações</t>
  </si>
  <si>
    <t>Total das exposições reestruturadas</t>
  </si>
  <si>
    <t>i</t>
  </si>
  <si>
    <t>Exposições</t>
  </si>
  <si>
    <t>% das exposições</t>
  </si>
  <si>
    <t>10 maiores exposições</t>
  </si>
  <si>
    <t>100 maiores exposições</t>
  </si>
  <si>
    <t>Representatividade das exposições de Títulos de dívida</t>
  </si>
  <si>
    <r>
      <t>RWA</t>
    </r>
    <r>
      <rPr>
        <b/>
        <vertAlign val="subscript"/>
        <sz val="11"/>
        <color rgb="FF004851"/>
        <rFont val="Segoe UI"/>
        <family val="2"/>
      </rPr>
      <t>MPAD</t>
    </r>
  </si>
  <si>
    <t>Taxas de juros</t>
  </si>
  <si>
    <r>
      <t xml:space="preserve">       Taxas de juros prefixada denominadas em Real (RWA</t>
    </r>
    <r>
      <rPr>
        <vertAlign val="subscript"/>
        <sz val="10"/>
        <color indexed="8"/>
        <rFont val="Segoe UI"/>
        <family val="2"/>
      </rPr>
      <t>JUR1</t>
    </r>
    <r>
      <rPr>
        <sz val="10"/>
        <color indexed="8"/>
        <rFont val="Segoe UI"/>
        <family val="2"/>
      </rPr>
      <t>)</t>
    </r>
  </si>
  <si>
    <t>1b</t>
  </si>
  <si>
    <r>
      <t xml:space="preserve">       Taxas dos cupons de moeda estrangeira (RWA</t>
    </r>
    <r>
      <rPr>
        <vertAlign val="subscript"/>
        <sz val="10"/>
        <color indexed="8"/>
        <rFont val="Segoe UI"/>
        <family val="2"/>
      </rPr>
      <t>JUR2</t>
    </r>
    <r>
      <rPr>
        <sz val="10"/>
        <color indexed="8"/>
        <rFont val="Segoe UI"/>
        <family val="2"/>
      </rPr>
      <t>)</t>
    </r>
  </si>
  <si>
    <t>1c</t>
  </si>
  <si>
    <r>
      <t xml:space="preserve">       Taxas dos cupons de índices de preço (RWA</t>
    </r>
    <r>
      <rPr>
        <vertAlign val="subscript"/>
        <sz val="10"/>
        <color indexed="8"/>
        <rFont val="Segoe UI"/>
        <family val="2"/>
      </rPr>
      <t>JUR3</t>
    </r>
    <r>
      <rPr>
        <sz val="10"/>
        <color indexed="8"/>
        <rFont val="Segoe UI"/>
        <family val="2"/>
      </rPr>
      <t>)</t>
    </r>
  </si>
  <si>
    <t>1d</t>
  </si>
  <si>
    <r>
      <t xml:space="preserve">       Taxas dos cupons de taxas de juros (RWA</t>
    </r>
    <r>
      <rPr>
        <vertAlign val="subscript"/>
        <sz val="10"/>
        <color indexed="8"/>
        <rFont val="Segoe UI"/>
        <family val="2"/>
      </rPr>
      <t>JUR4</t>
    </r>
    <r>
      <rPr>
        <sz val="10"/>
        <color indexed="8"/>
        <rFont val="Segoe UI"/>
        <family val="2"/>
      </rPr>
      <t>)</t>
    </r>
  </si>
  <si>
    <r>
      <t>Preços de ações (RWA</t>
    </r>
    <r>
      <rPr>
        <b/>
        <vertAlign val="subscript"/>
        <sz val="11"/>
        <color rgb="FF004851"/>
        <rFont val="Segoe UI"/>
        <family val="2"/>
      </rPr>
      <t>ACS</t>
    </r>
    <r>
      <rPr>
        <b/>
        <sz val="11"/>
        <color rgb="FF004851"/>
        <rFont val="Segoe UI"/>
        <family val="2"/>
      </rPr>
      <t>)</t>
    </r>
  </si>
  <si>
    <r>
      <t>Taxas de câmbio (RWA</t>
    </r>
    <r>
      <rPr>
        <b/>
        <vertAlign val="subscript"/>
        <sz val="11"/>
        <color rgb="FF004851"/>
        <rFont val="Segoe UI"/>
        <family val="2"/>
      </rPr>
      <t>CAM</t>
    </r>
    <r>
      <rPr>
        <b/>
        <sz val="11"/>
        <color rgb="FF004851"/>
        <rFont val="Segoe UI"/>
        <family val="2"/>
      </rPr>
      <t>)</t>
    </r>
  </si>
  <si>
    <r>
      <t xml:space="preserve"> Preços de mercadorias (RWA</t>
    </r>
    <r>
      <rPr>
        <b/>
        <vertAlign val="subscript"/>
        <sz val="11"/>
        <color rgb="FF004851"/>
        <rFont val="Segoe UI"/>
        <family val="2"/>
      </rPr>
      <t>COM</t>
    </r>
    <r>
      <rPr>
        <b/>
        <sz val="11"/>
        <color rgb="FF004851"/>
        <rFont val="Segoe UI"/>
        <family val="2"/>
      </rPr>
      <t>)</t>
    </r>
  </si>
  <si>
    <r>
      <t>RWA</t>
    </r>
    <r>
      <rPr>
        <b/>
        <vertAlign val="subscript"/>
        <sz val="11"/>
        <color rgb="FF004851"/>
        <rFont val="Segoe UI"/>
        <family val="2"/>
      </rPr>
      <t>DRC</t>
    </r>
  </si>
  <si>
    <r>
      <t>RWA</t>
    </r>
    <r>
      <rPr>
        <b/>
        <vertAlign val="subscript"/>
        <sz val="11"/>
        <color rgb="FF004851"/>
        <rFont val="Segoe UI"/>
        <family val="2"/>
      </rPr>
      <t>CVA</t>
    </r>
  </si>
  <si>
    <t>Informações quantitativas dos derivativos classificados nas carteiras de negociação e bancária</t>
  </si>
  <si>
    <r>
      <t xml:space="preserve">Frequência: </t>
    </r>
    <r>
      <rPr>
        <b/>
        <sz val="10"/>
        <color indexed="8"/>
        <rFont val="Segoe UI"/>
        <family val="2"/>
      </rPr>
      <t xml:space="preserve">Trimestral </t>
    </r>
  </si>
  <si>
    <t>Derivativos no Brasil - Com Contraparte Central</t>
  </si>
  <si>
    <t>Fatores de Risco</t>
  </si>
  <si>
    <t>Comprada</t>
  </si>
  <si>
    <t>Vendida</t>
  </si>
  <si>
    <t xml:space="preserve">     Ações e Índices </t>
  </si>
  <si>
    <t>-</t>
  </si>
  <si>
    <t xml:space="preserve">     Câmbio </t>
  </si>
  <si>
    <t xml:space="preserve">     Taxa de juros </t>
  </si>
  <si>
    <t xml:space="preserve">     Commodities</t>
  </si>
  <si>
    <t>Choques Padronizados ¹</t>
  </si>
  <si>
    <t>∆EVE</t>
  </si>
  <si>
    <t>∆NII</t>
  </si>
  <si>
    <t>Cenários</t>
  </si>
  <si>
    <t xml:space="preserve">       Paralelo de Alta</t>
  </si>
  <si>
    <t xml:space="preserve">       Paralelo de Baixa</t>
  </si>
  <si>
    <t xml:space="preserve">       Aumento das taxas de juros de curto prazo</t>
  </si>
  <si>
    <t xml:space="preserve">       Redução das taxas de juros de curto prazo</t>
  </si>
  <si>
    <t xml:space="preserve">       Steepener</t>
  </si>
  <si>
    <t xml:space="preserve">       Flattener</t>
  </si>
  <si>
    <t>Variação Máxima</t>
  </si>
  <si>
    <t>Capital de Nível I</t>
  </si>
  <si>
    <t>As perdas potenciais estão representadas por valores positivos, enquanto que, os ganhos potenciais por valores negativos.</t>
  </si>
  <si>
    <t>¹ Choques padronizados nas taxas de juros, conforme definição do "Anexo 1" da Circular BCB nº 3.876/2018.</t>
  </si>
  <si>
    <t>j</t>
  </si>
  <si>
    <t>k</t>
  </si>
  <si>
    <t>Média dos últimos 10 períodos anuais</t>
  </si>
  <si>
    <t>Com limiar de R$100.000,00 (cem mil reais)</t>
  </si>
  <si>
    <t>Valor da perda líquida</t>
  </si>
  <si>
    <t>Número de eventos de perda operacional</t>
  </si>
  <si>
    <t>Valor total de perdas operacionais descartadas da base de perdas</t>
  </si>
  <si>
    <t>Número de eventos de perda descartados</t>
  </si>
  <si>
    <t>Valor da perda líquida considerando eventos descartados</t>
  </si>
  <si>
    <t>Com limiar de R$500.000,00 (quinhentos mil reais)</t>
  </si>
  <si>
    <r>
      <t>Detalhes do cálculo do RWA</t>
    </r>
    <r>
      <rPr>
        <b/>
        <vertAlign val="subscript"/>
        <sz val="11"/>
        <color rgb="FF004851"/>
        <rFont val="Segoe UI"/>
        <family val="2"/>
      </rPr>
      <t>OPAD</t>
    </r>
  </si>
  <si>
    <t>Limiar de perdas utilizado no cálculo do ILM: R$ 100.000,00 (cem mil reais) ou R$ 500.000,00 (quinhentos mil reais).</t>
  </si>
  <si>
    <t>BI e componentes</t>
  </si>
  <si>
    <t>Receita de juros e arrendamento mercantil (II)</t>
  </si>
  <si>
    <t>Despesa de juros e arrendamento mercantil (IE)</t>
  </si>
  <si>
    <t>Ativos geradores de juros (IEA)</t>
  </si>
  <si>
    <t>Receitas de participações (DI)</t>
  </si>
  <si>
    <t>Receita de serviços (FI)</t>
  </si>
  <si>
    <t>Despesa de serviços (FE)</t>
  </si>
  <si>
    <t>2c</t>
  </si>
  <si>
    <t>Outras receitas operacionais (OOI)</t>
  </si>
  <si>
    <t>2d</t>
  </si>
  <si>
    <t>Outras despesas operacionais (OOE)</t>
  </si>
  <si>
    <t>Componente financeiro (FC)</t>
  </si>
  <si>
    <t>Resultado líquido da carteira de negociação (NTB)</t>
  </si>
  <si>
    <t>Indicador de Negócios (BI)</t>
  </si>
  <si>
    <t>Indicador de Negócios Ponderado (BIC)</t>
  </si>
  <si>
    <t>Divulgação relativa ao BI</t>
  </si>
  <si>
    <t>Receitas referentes a serviços de pagamento excluídos do SC</t>
  </si>
  <si>
    <t>6d</t>
  </si>
  <si>
    <t>Despesas referentes a serviços de pagamento excluídos do SC</t>
  </si>
  <si>
    <t>Multiplicador de Perdas Internas (ILM)</t>
  </si>
  <si>
    <t>Requerimento de capital para o risco operacional</t>
  </si>
  <si>
    <t>RWAOPAD</t>
  </si>
  <si>
    <t>Derivativos</t>
  </si>
  <si>
    <t>Posição Comprada – Liquidadas em contraparte central – No Brasil</t>
  </si>
  <si>
    <t>Posição Comprada – Liquidadas em contraparte central – No exterior</t>
  </si>
  <si>
    <t>Posição Comprada – Não liquidadas em contraparte central – No Brasil</t>
  </si>
  <si>
    <t>Posição Comprada – Nãp liquidadas em contraparte central – No exterior</t>
  </si>
  <si>
    <t>1e</t>
  </si>
  <si>
    <t>Posição Vendida – Liquidadas em contraparte central – No Brasil</t>
  </si>
  <si>
    <t>1f</t>
  </si>
  <si>
    <t>Posição Vendida – Liquidadas em contraparte central – No exterior</t>
  </si>
  <si>
    <t>1g</t>
  </si>
  <si>
    <t>Posição Vendida – Não liquidadas em contraparte central – No Brasil</t>
  </si>
  <si>
    <t>1h</t>
  </si>
  <si>
    <t>Posição Vendida – Não liquidadas em contraparte central – No exterior</t>
  </si>
  <si>
    <t>2e</t>
  </si>
  <si>
    <t>2f</t>
  </si>
  <si>
    <t>2g</t>
  </si>
  <si>
    <t>2h</t>
  </si>
  <si>
    <t>3d</t>
  </si>
  <si>
    <t>3e</t>
  </si>
  <si>
    <t>3f</t>
  </si>
  <si>
    <t>3g</t>
  </si>
  <si>
    <t>3h</t>
  </si>
  <si>
    <t>4a</t>
  </si>
  <si>
    <t>4c</t>
  </si>
  <si>
    <t>4d</t>
  </si>
  <si>
    <t>4e</t>
  </si>
  <si>
    <t>4f</t>
  </si>
  <si>
    <t>4g</t>
  </si>
  <si>
    <t>4h</t>
  </si>
  <si>
    <t xml:space="preserve">Somente posições classificadas na carteira de negociação.
</t>
  </si>
  <si>
    <t>4T2025</t>
  </si>
  <si>
    <t>R$ milhares</t>
  </si>
  <si>
    <t>Capital regulamentar – valores</t>
  </si>
  <si>
    <t>Capital Principal corresponde à linha 1 deduzindo, conforme aplicável, o valor estabelecido pelo:</t>
  </si>
  <si>
    <r>
      <t>- art. 4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>, caput, inciso I, alínea “i”, e §§ 8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e 9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>, da Resolução CMN n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4.955, de 21 de outubro de 2021; ou - art. 3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>, caput, inciso I, alínea “i”, §§ 8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e 9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>, da Resolução BCB n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199, de 11 de março de 2022.</t>
    </r>
  </si>
  <si>
    <t>3.421.180</t>
  </si>
  <si>
    <t xml:space="preserve"> - </t>
  </si>
  <si>
    <t xml:space="preserve"> -</t>
  </si>
  <si>
    <t>Ativos ponderados pelo risco (RWA) - valores</t>
  </si>
  <si>
    <t>RWA total</t>
  </si>
  <si>
    <r>
      <t>RWA corresponde à linha 4 deduzindo, conforme aplicável, o valor referente ao inciso XII do caput do art. 4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ponderado pelo Fator de Ponderação de Risco (FPR) estabelecido no art. 82-A, ambos os comandos da Resolução 229, de 12 de maio de 2022.</t>
    </r>
  </si>
  <si>
    <t>Índice de Capital Principal (ICP) considerando:</t>
  </si>
  <si>
    <t>- Numerador: corresponde à linha 1a</t>
  </si>
  <si>
    <t>- Denominador: corresponde à linha 4b</t>
  </si>
  <si>
    <t>29,08%</t>
  </si>
  <si>
    <t>Índice de Nível 1, considerando:</t>
  </si>
  <si>
    <t>- Numerador: corresponde à linha 2a</t>
  </si>
  <si>
    <t>Índice de Basileia, considerando:</t>
  </si>
  <si>
    <t>- Numerador: corresponde à linha 3a</t>
  </si>
  <si>
    <r>
      <t xml:space="preserve">Adicional de Conservação de Capital Principal - ACP </t>
    </r>
    <r>
      <rPr>
        <sz val="5"/>
        <color rgb="FF000000"/>
        <rFont val="Gilroy Light"/>
        <family val="3"/>
      </rPr>
      <t>Conservação</t>
    </r>
  </si>
  <si>
    <r>
      <t xml:space="preserve">Adicional Contracíclico de Capital Principal - ACP </t>
    </r>
    <r>
      <rPr>
        <sz val="5"/>
        <color rgb="FF000000"/>
        <rFont val="Gilroy Light"/>
        <family val="3"/>
      </rPr>
      <t>Contracíclico</t>
    </r>
  </si>
  <si>
    <r>
      <t xml:space="preserve">Adicional de Importância Sistêmica de Capital Principal - ACP </t>
    </r>
    <r>
      <rPr>
        <sz val="5"/>
        <color rgb="FF000000"/>
        <rFont val="Gilroy Light"/>
        <family val="3"/>
      </rPr>
      <t>Sistêmico</t>
    </r>
  </si>
  <si>
    <t>ACP total</t>
  </si>
  <si>
    <t>Margem excedente de Capital Principal</t>
  </si>
  <si>
    <r>
      <t>Exposição total corresponde à linha 13 deduzindo, conforme aplicável, o valor referente ao inciso XII do caput do art. 4</t>
    </r>
    <r>
      <rPr>
        <sz val="7"/>
        <color rgb="FF000000"/>
        <rFont val="Calibri"/>
        <family val="2"/>
      </rPr>
      <t>º</t>
    </r>
    <r>
      <rPr>
        <sz val="7"/>
        <color rgb="FF000000"/>
        <rFont val="Gilroy Light"/>
        <family val="3"/>
      </rPr>
      <t xml:space="preserve"> da Resolução 229, de 12 de maio de 2022.</t>
    </r>
  </si>
  <si>
    <t>RA considerando:</t>
  </si>
  <si>
    <t>i. Numerador: corresponde à linha 2a</t>
  </si>
  <si>
    <t>ii. Denominador: corresponde à linha 13a</t>
  </si>
  <si>
    <t>Requerimento mínimo de PR*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</si>
  <si>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</si>
  <si>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</si>
  <si>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</si>
  <si>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Do qual: apurado mediante uso da abordagem SA-CCR</t>
  </si>
  <si>
    <t>Do qual: apurado mediante uso da abordagem CEM</t>
  </si>
  <si>
    <t>Do qual: outros</t>
  </si>
  <si>
    <t>Exposições de securitização contabilizadas na carteira bancária</t>
  </si>
  <si>
    <r>
      <t>Do qual: requerimento calculado mediante abordagem padronizada (RWA</t>
    </r>
    <r>
      <rPr>
        <sz val="5"/>
        <color rgb="FF000000"/>
        <rFont val="Gilroy Light"/>
        <family val="3"/>
      </rPr>
      <t>MPAD</t>
    </r>
    <r>
      <rPr>
        <sz val="7"/>
        <color rgb="FF000000"/>
        <rFont val="Gilroy Light"/>
        <family val="3"/>
      </rPr>
      <t>)</t>
    </r>
  </si>
  <si>
    <r>
      <t>Do qual: requerimento calculado mediante modelo interno (RWA</t>
    </r>
    <r>
      <rPr>
        <sz val="5"/>
        <color rgb="FF000000"/>
        <rFont val="Gilroy Light"/>
        <family val="3"/>
      </rPr>
      <t>MINT</t>
    </r>
    <r>
      <rPr>
        <sz val="7"/>
        <color rgb="FF000000"/>
        <rFont val="Gilroy Light"/>
        <family val="3"/>
      </rPr>
      <t>)</t>
    </r>
  </si>
  <si>
    <r>
      <t>Risco de Pagamentos (RWA</t>
    </r>
    <r>
      <rPr>
        <sz val="5"/>
        <color rgb="FF000000"/>
        <rFont val="Gilroy Light"/>
        <family val="3"/>
      </rPr>
      <t>SP</t>
    </r>
    <r>
      <rPr>
        <sz val="7"/>
        <color rgb="FF000000"/>
        <rFont val="Gilroy Light"/>
        <family val="3"/>
      </rPr>
      <t>)</t>
    </r>
  </si>
  <si>
    <t>Total (1+6+12+13+14+16+20+24+I+25)</t>
  </si>
  <si>
    <t>* Requerimento mínimo de 8%, de acordo com a Resolução CMN 4.958/2021.</t>
  </si>
  <si>
    <t xml:space="preserve">Provisões, adiantamentos e rendas a apropriar </t>
  </si>
  <si>
    <r>
      <t>Provisões, adiantamentos e rendas a apropriar Dos quais: RWA</t>
    </r>
    <r>
      <rPr>
        <b/>
        <sz val="5"/>
        <color rgb="FF003D43"/>
        <rFont val="Gilroy ExtraBold"/>
        <family val="3"/>
      </rPr>
      <t>CPAD</t>
    </r>
  </si>
  <si>
    <t>Provisões, adiantamentos e rendas a apropriar Dos quais:</t>
  </si>
  <si>
    <r>
      <t>RWA</t>
    </r>
    <r>
      <rPr>
        <sz val="5"/>
        <color rgb="FF003D43"/>
        <rFont val="Gilroy ExtraBold"/>
        <family val="3"/>
      </rPr>
      <t>CIRB</t>
    </r>
  </si>
  <si>
    <t>Valor Líquido (a+b-c)</t>
  </si>
  <si>
    <t xml:space="preserve">Concessão de crédito </t>
  </si>
  <si>
    <t xml:space="preserve"> dos quais: títulos soberanos nacionais</t>
  </si>
  <si>
    <t>dos quais: outros títulos</t>
  </si>
  <si>
    <t xml:space="preserve">Operações não contabilizadas no balanço patrimonial </t>
  </si>
  <si>
    <t>Total (1+2+3)</t>
  </si>
  <si>
    <t>A</t>
  </si>
  <si>
    <t>Valor das exposições classificadas como ativos problemáticos no final do período corrente (1+2+3+4+5)</t>
  </si>
  <si>
    <r>
      <t xml:space="preserve">Território Nacional </t>
    </r>
    <r>
      <rPr>
        <b/>
        <vertAlign val="superscript"/>
        <sz val="7"/>
        <color rgb="FF003D43"/>
        <rFont val="Gilroy ExtraBold"/>
        <family val="3"/>
      </rPr>
      <t xml:space="preserve">1 </t>
    </r>
  </si>
  <si>
    <r>
      <t>-</t>
    </r>
    <r>
      <rPr>
        <sz val="7"/>
        <color rgb="FF000000"/>
        <rFont val="Calibri"/>
        <family val="2"/>
      </rPr>
      <t> </t>
    </r>
  </si>
  <si>
    <r>
      <t>1.605</t>
    </r>
    <r>
      <rPr>
        <sz val="10"/>
        <color rgb="FF000000"/>
        <rFont val="Times New Roman"/>
        <family val="1"/>
      </rPr>
      <t> </t>
    </r>
  </si>
  <si>
    <r>
      <t> </t>
    </r>
    <r>
      <rPr>
        <sz val="7"/>
        <color rgb="FF000000"/>
        <rFont val="Gilroy Light"/>
        <family val="3"/>
      </rPr>
      <t>1.164.283</t>
    </r>
  </si>
  <si>
    <r>
      <t> </t>
    </r>
    <r>
      <rPr>
        <sz val="7"/>
        <color rgb="FF000000"/>
        <rFont val="Gilroy Light"/>
        <family val="3"/>
      </rPr>
      <t>-</t>
    </r>
  </si>
  <si>
    <t>Acima de 1 ano</t>
  </si>
  <si>
    <t>até 5 anos</t>
  </si>
  <si>
    <t>Agricultura, pecuária, produção florestal, pesca e aqüicultura</t>
  </si>
  <si>
    <t>Comércio; reparação de veículos automotores e motocicletas</t>
  </si>
  <si>
    <t>Indústrias de transformação</t>
  </si>
  <si>
    <t>Pessoa física/não informado</t>
  </si>
  <si>
    <t>Atividades financeiras, de seguros e serviços relacionados</t>
  </si>
  <si>
    <t>Transporte, armazenagem e correio</t>
  </si>
  <si>
    <t>Construção</t>
  </si>
  <si>
    <t>Atividades administrativas e serviços complementares</t>
  </si>
  <si>
    <t>Atividades profissionais, científicas e técnicas</t>
  </si>
  <si>
    <t>Saúde humana e serviços sociais</t>
  </si>
  <si>
    <t>Alojamento e alimentação</t>
  </si>
  <si>
    <t>Atividades imobiliárias</t>
  </si>
  <si>
    <t>Educação</t>
  </si>
  <si>
    <t>Informação e comunicação</t>
  </si>
  <si>
    <t>Outras atividades de serviços</t>
  </si>
  <si>
    <t>Água, esgoto, atividades de gestão de resíduos e descontaminação</t>
  </si>
  <si>
    <t>Artes, cultura, esporte e recreação</t>
  </si>
  <si>
    <t>Indústrias extrativas</t>
  </si>
  <si>
    <t>Eletricidade e gás</t>
  </si>
  <si>
    <t>Serviços domésticos</t>
  </si>
  <si>
    <t>Administração pública, defesa e seguridade social</t>
  </si>
  <si>
    <t>Valor das operações classificadas como Ativos Problemáticos</t>
  </si>
  <si>
    <t>Valor da Provisão</t>
  </si>
  <si>
    <t>Operações não contabilizadas no balanço Patrimonial</t>
  </si>
  <si>
    <t>Valor da</t>
  </si>
  <si>
    <t xml:space="preserve"> provisão</t>
  </si>
  <si>
    <t>Pessoa física</t>
  </si>
  <si>
    <t>Total das exposições em atraso por faixas de atraso</t>
  </si>
  <si>
    <t>Menor</t>
  </si>
  <si>
    <t>que 30 dias</t>
  </si>
  <si>
    <t>Entre</t>
  </si>
  <si>
    <t>31 e 90 dias</t>
  </si>
  <si>
    <t>91 e 180 dias</t>
  </si>
  <si>
    <t>181 e 365 dias</t>
  </si>
  <si>
    <t>Maior</t>
  </si>
  <si>
    <t>que 365 dias</t>
  </si>
  <si>
    <t>A cooperativa não é autorizada a realizar o cálculo do ILM.</t>
  </si>
  <si>
    <t xml:space="preserve">Componente de juros, arrendamento mercantil e </t>
  </si>
  <si>
    <t>participações (ILDC)</t>
  </si>
  <si>
    <t xml:space="preserve">Componente de serviços (SC) </t>
  </si>
  <si>
    <t xml:space="preserve">    Resultado líquido da carteira bancária (NBB)</t>
  </si>
  <si>
    <r>
      <t>6</t>
    </r>
    <r>
      <rPr>
        <sz val="7"/>
        <color rgb="FF000000"/>
        <rFont val="Calibri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</si>
</sst>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-* #,##0_-;\-* #,##0_-;_-* &quot; - &quot;??_-;_-@_-"/>
    <numFmt numFmtId="166" formatCode="0.000%"/>
    <numFmt numFmtId="167" formatCode="_(* #,##0_);_(* \(#,##0\);_(* &quot;-&quot;??_);_(@_)"/>
    <numFmt numFmtId="168" formatCode="#,##0;\(#,##0\)"/>
    <numFmt numFmtId="169" formatCode="[$-416]mmm\-yy;@"/>
    <numFmt numFmtId="170" formatCode="_-* #,##0.0000_-;\-* #,##0.0000_-;_-* &quot;-&quot;??_-;_-@_-"/>
    <numFmt numFmtId="171" formatCode="_-* #,##0_-;\-* #,##0_-;_-* &quot;-&quot;??_-;_-@_-"/>
    <numFmt numFmtId="172" formatCode="[$-416]mmmm\-yy;@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sz val="14"/>
      <color rgb="FF008A76"/>
      <name val="Segoe UI"/>
      <family val="2"/>
    </font>
    <font>
      <b/>
      <sz val="11"/>
      <color rgb="FF004851"/>
      <name val="Segoe UI"/>
      <family val="2"/>
    </font>
    <font>
      <b/>
      <sz val="10"/>
      <color theme="1"/>
      <name val="Segoe UI"/>
      <family val="2"/>
    </font>
    <font>
      <b/>
      <sz val="10"/>
      <color rgb="FF004851"/>
      <name val="Segoe UI"/>
      <family val="2"/>
    </font>
    <font>
      <sz val="10"/>
      <color indexed="8"/>
      <name val="Segoe UI"/>
      <family val="2"/>
    </font>
    <font>
      <vertAlign val="subscript"/>
      <sz val="10"/>
      <color indexed="8"/>
      <name val="Segoe UI"/>
      <family val="2"/>
    </font>
    <font>
      <sz val="10"/>
      <name val="Segoe UI"/>
      <family val="2"/>
    </font>
    <font>
      <b/>
      <sz val="10"/>
      <color indexed="8"/>
      <name val="Segoe UI"/>
      <family val="2"/>
    </font>
    <font>
      <sz val="14"/>
      <color rgb="FF004851"/>
      <name val="Segoe UI"/>
      <family val="2"/>
    </font>
    <font>
      <sz val="8"/>
      <color theme="1" tint="0.499984740745262"/>
      <name val="Segoe UI"/>
      <family val="2"/>
    </font>
    <font>
      <b/>
      <vertAlign val="subscript"/>
      <sz val="11"/>
      <color rgb="FF004851"/>
      <name val="Segoe UI"/>
      <family val="2"/>
    </font>
    <font>
      <sz val="12"/>
      <color rgb="FF004851"/>
      <name val="Segoe UI"/>
      <family val="2"/>
    </font>
    <font>
      <b/>
      <sz val="11"/>
      <color theme="1"/>
      <name val="Segoe UI"/>
      <family val="2"/>
    </font>
    <font>
      <sz val="9"/>
      <color theme="1"/>
      <name val="Segoe UI"/>
      <family val="2"/>
    </font>
    <font>
      <b/>
      <sz val="22"/>
      <color rgb="FF004851"/>
      <name val="Segoe UI"/>
      <family val="2"/>
    </font>
    <font>
      <sz val="7"/>
      <color rgb="FF003D43"/>
      <name val="Gilroy ExtraBold"/>
      <family val="3"/>
    </font>
    <font>
      <sz val="7"/>
      <color rgb="FF000000"/>
      <name val="Gilroy Light"/>
      <family val="3"/>
    </font>
    <font>
      <sz val="7"/>
      <color rgb="FF003D43"/>
      <name val="Gilroy Light"/>
      <family val="3"/>
    </font>
    <font>
      <sz val="7"/>
      <color theme="1"/>
      <name val="Gilroy Light"/>
      <family val="3"/>
    </font>
    <font>
      <b/>
      <sz val="7"/>
      <color rgb="FF003D43"/>
      <name val="Gilroy ExtraBold"/>
      <family val="3"/>
    </font>
    <font>
      <sz val="10"/>
      <color theme="1"/>
      <name val="Times New Roman"/>
      <family val="1"/>
    </font>
    <font>
      <b/>
      <sz val="8"/>
      <color rgb="FF003D43"/>
      <name val="Gilroy ExtraBold"/>
      <family val="3"/>
    </font>
    <font>
      <sz val="8"/>
      <color rgb="FF003D43"/>
      <name val="Gilroy-Light"/>
    </font>
    <font>
      <b/>
      <sz val="8"/>
      <color rgb="FF003D43"/>
      <name val="Gilroy-Light"/>
    </font>
    <font>
      <sz val="7"/>
      <color rgb="FF003D43"/>
      <name val="Calibri"/>
      <family val="2"/>
    </font>
    <font>
      <sz val="7"/>
      <color rgb="FF000000"/>
      <name val="Gilroy-Light"/>
    </font>
    <font>
      <sz val="7"/>
      <color rgb="FF000000"/>
      <name val="Calibri"/>
      <family val="2"/>
    </font>
    <font>
      <sz val="10"/>
      <color rgb="FF000000"/>
      <name val="Times New Roman"/>
      <family val="1"/>
    </font>
    <font>
      <sz val="5"/>
      <color rgb="FF000000"/>
      <name val="Gilroy Light"/>
      <family val="3"/>
    </font>
    <font>
      <sz val="8"/>
      <color rgb="FF000000"/>
      <name val="Gilroy Light"/>
      <family val="3"/>
    </font>
    <font>
      <b/>
      <sz val="8"/>
      <color rgb="FF000000"/>
      <name val="Gilroy Light"/>
      <family val="3"/>
    </font>
    <font>
      <sz val="8"/>
      <color rgb="FF003D43"/>
      <name val="Gilroy ExtraBold"/>
      <family val="3"/>
    </font>
    <font>
      <sz val="6"/>
      <color rgb="FF003D43"/>
      <name val="Gilroy ExtraBold"/>
      <family val="3"/>
    </font>
    <font>
      <sz val="1"/>
      <color rgb="FF003D43"/>
      <name val="Calibri"/>
      <family val="2"/>
    </font>
    <font>
      <sz val="7"/>
      <color rgb="FF003D43"/>
      <name val="Calibri Light"/>
      <family val="2"/>
    </font>
    <font>
      <sz val="6"/>
      <color rgb="FF000000"/>
      <name val="Gilroy-Light"/>
    </font>
    <font>
      <b/>
      <sz val="7"/>
      <color rgb="FF003D43"/>
      <name val="Calibri"/>
      <family val="2"/>
    </font>
    <font>
      <b/>
      <sz val="5"/>
      <color rgb="FF003D43"/>
      <name val="Gilroy ExtraBold"/>
      <family val="3"/>
    </font>
    <font>
      <sz val="5"/>
      <color rgb="FF003D43"/>
      <name val="Gilroy ExtraBold"/>
      <family val="3"/>
    </font>
    <font>
      <b/>
      <sz val="7"/>
      <color rgb="FF000000"/>
      <name val="Gilroy Light"/>
      <family val="3"/>
    </font>
    <font>
      <b/>
      <sz val="7"/>
      <color rgb="FF004851"/>
      <name val="Gilroy ExtraBold"/>
      <family val="3"/>
    </font>
    <font>
      <b/>
      <vertAlign val="superscript"/>
      <sz val="7"/>
      <color rgb="FF003D43"/>
      <name val="Gilroy ExtraBold"/>
      <family val="3"/>
    </font>
    <font>
      <sz val="10"/>
      <color theme="1"/>
      <name val="Gilroy Light"/>
      <family val="3"/>
    </font>
    <font>
      <sz val="8"/>
      <color rgb="FF003D43"/>
      <name val="Gilroy Light"/>
      <family val="3"/>
    </font>
    <font>
      <b/>
      <sz val="8"/>
      <color rgb="FF003D43"/>
      <name val="Gilroy Light"/>
      <family val="3"/>
    </font>
    <font>
      <sz val="2"/>
      <color rgb="FF003D4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DDDDDD"/>
        <bgColor indexed="64"/>
      </patternFill>
    </fill>
    <fill>
      <patternFill patternType="mediumGray">
        <fgColor theme="0" tint="-0.14996795556505021"/>
        <bgColor rgb="FFF9F9F9"/>
      </patternFill>
    </fill>
    <fill>
      <patternFill patternType="solid">
        <fgColor rgb="FFE2EFDA"/>
        <bgColor indexed="64"/>
      </patternFill>
    </fill>
    <fill>
      <patternFill patternType="solid">
        <fgColor rgb="FF003D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 style="thin">
        <color rgb="FF008A76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 style="dashed">
        <color rgb="FF008A76"/>
      </right>
      <top style="thin">
        <color rgb="FF008A76"/>
      </top>
      <bottom style="thin">
        <color rgb="FF008A76"/>
      </bottom>
      <diagonal/>
    </border>
    <border>
      <left/>
      <right style="dashed">
        <color rgb="FF008A76"/>
      </right>
      <top/>
      <bottom/>
      <diagonal/>
    </border>
    <border>
      <left style="dashed">
        <color rgb="FF008A76"/>
      </left>
      <right/>
      <top style="thin">
        <color rgb="FF008A76"/>
      </top>
      <bottom style="thin">
        <color rgb="FF008A76"/>
      </bottom>
      <diagonal/>
    </border>
    <border>
      <left/>
      <right/>
      <top style="thick">
        <color rgb="FFBFBFBF"/>
      </top>
      <bottom/>
      <diagonal/>
    </border>
    <border>
      <left/>
      <right/>
      <top/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  <border>
      <left/>
      <right/>
      <top/>
      <bottom style="medium">
        <color rgb="FFF2F2F2"/>
      </bottom>
      <diagonal/>
    </border>
    <border>
      <left/>
      <right/>
      <top/>
      <bottom style="thick">
        <color rgb="FFD0CECE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279">
    <xf numFmtId="0" fontId="0" fillId="0" borderId="0" xfId="0"/>
    <xf numFmtId="0" fontId="0" fillId="0" borderId="0" xfId="0" applyAlignment="1">
      <alignment vertical="center"/>
    </xf>
    <xf numFmtId="0" fontId="8" fillId="2" borderId="4" xfId="2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43" fontId="2" fillId="2" borderId="0" xfId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0" fillId="2" borderId="4" xfId="2" applyFont="1" applyFill="1" applyBorder="1" applyAlignment="1">
      <alignment horizontal="left" vertical="center" wrapText="1"/>
    </xf>
    <xf numFmtId="167" fontId="2" fillId="2" borderId="0" xfId="1" applyNumberFormat="1" applyFont="1" applyFill="1" applyBorder="1" applyAlignment="1">
      <alignment vertical="center"/>
    </xf>
    <xf numFmtId="167" fontId="2" fillId="2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2" fillId="0" borderId="0" xfId="2" applyFont="1"/>
    <xf numFmtId="0" fontId="2" fillId="0" borderId="0" xfId="2" applyFont="1" applyAlignment="1">
      <alignment wrapText="1"/>
    </xf>
    <xf numFmtId="0" fontId="2" fillId="0" borderId="0" xfId="2" applyFont="1" applyAlignment="1">
      <alignment horizont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/>
    </xf>
    <xf numFmtId="165" fontId="3" fillId="2" borderId="0" xfId="4" applyNumberFormat="1" applyFont="1" applyFill="1" applyBorder="1" applyAlignment="1">
      <alignment horizontal="center" vertical="center"/>
    </xf>
    <xf numFmtId="0" fontId="2" fillId="2" borderId="0" xfId="2" applyFont="1" applyFill="1"/>
    <xf numFmtId="0" fontId="9" fillId="2" borderId="0" xfId="2" applyFont="1" applyFill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right" wrapText="1"/>
    </xf>
    <xf numFmtId="0" fontId="2" fillId="2" borderId="0" xfId="2" applyFont="1" applyFill="1" applyAlignment="1">
      <alignment horizontal="center" vertical="center" wrapText="1"/>
    </xf>
    <xf numFmtId="0" fontId="2" fillId="2" borderId="0" xfId="2" applyFont="1" applyFill="1" applyAlignment="1">
      <alignment horizontal="left" vertical="center" wrapText="1" indent="1"/>
    </xf>
    <xf numFmtId="165" fontId="13" fillId="2" borderId="0" xfId="4" applyNumberFormat="1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/>
    </xf>
    <xf numFmtId="0" fontId="6" fillId="3" borderId="2" xfId="2" applyFont="1" applyFill="1" applyBorder="1" applyAlignment="1">
      <alignment horizontal="left" vertical="center" wrapText="1"/>
    </xf>
    <xf numFmtId="165" fontId="6" fillId="3" borderId="2" xfId="4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left" vertical="center" wrapText="1"/>
    </xf>
    <xf numFmtId="165" fontId="8" fillId="2" borderId="1" xfId="4" applyNumberFormat="1" applyFont="1" applyFill="1" applyBorder="1" applyAlignment="1">
      <alignment horizontal="center" vertical="center"/>
    </xf>
    <xf numFmtId="0" fontId="2" fillId="2" borderId="0" xfId="3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14" fontId="2" fillId="2" borderId="0" xfId="3" applyNumberFormat="1" applyFont="1" applyFill="1" applyAlignment="1">
      <alignment horizontal="center" vertical="center"/>
    </xf>
    <xf numFmtId="0" fontId="2" fillId="2" borderId="0" xfId="2" applyFont="1" applyFill="1" applyAlignment="1">
      <alignment horizontal="right" vertical="center" wrapText="1"/>
    </xf>
    <xf numFmtId="0" fontId="9" fillId="2" borderId="0" xfId="3" applyFont="1" applyFill="1" applyAlignment="1">
      <alignment horizontal="right" vertical="center"/>
    </xf>
    <xf numFmtId="0" fontId="2" fillId="2" borderId="0" xfId="3" applyFont="1" applyFill="1" applyAlignment="1">
      <alignment horizontal="center" vertical="center" wrapText="1"/>
    </xf>
    <xf numFmtId="0" fontId="2" fillId="2" borderId="0" xfId="3" applyFont="1" applyFill="1" applyAlignment="1">
      <alignment horizontal="left" vertical="center" wrapText="1"/>
    </xf>
    <xf numFmtId="168" fontId="2" fillId="2" borderId="0" xfId="2" applyNumberFormat="1" applyFont="1" applyFill="1" applyAlignment="1">
      <alignment horizontal="right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left" vertical="center" wrapText="1"/>
    </xf>
    <xf numFmtId="168" fontId="2" fillId="2" borderId="1" xfId="2" applyNumberFormat="1" applyFont="1" applyFill="1" applyBorder="1" applyAlignment="1">
      <alignment horizontal="right" vertical="center"/>
    </xf>
    <xf numFmtId="0" fontId="9" fillId="3" borderId="0" xfId="3" applyFont="1" applyFill="1" applyAlignment="1">
      <alignment horizontal="center" vertical="center" wrapText="1"/>
    </xf>
    <xf numFmtId="0" fontId="8" fillId="3" borderId="0" xfId="3" applyFont="1" applyFill="1" applyAlignment="1">
      <alignment horizontal="left" vertical="center"/>
    </xf>
    <xf numFmtId="14" fontId="3" fillId="3" borderId="0" xfId="3" applyNumberFormat="1" applyFont="1" applyFill="1" applyAlignment="1">
      <alignment horizontal="center" vertical="center"/>
    </xf>
    <xf numFmtId="0" fontId="10" fillId="3" borderId="5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left" vertical="center" wrapText="1"/>
    </xf>
    <xf numFmtId="14" fontId="10" fillId="3" borderId="5" xfId="3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6" fillId="2" borderId="0" xfId="2" applyFont="1" applyFill="1" applyAlignment="1">
      <alignment horizontal="left" vertical="top"/>
    </xf>
    <xf numFmtId="170" fontId="2" fillId="2" borderId="0" xfId="1" applyNumberFormat="1" applyFont="1" applyFill="1" applyAlignment="1">
      <alignment vertical="center"/>
    </xf>
    <xf numFmtId="0" fontId="10" fillId="2" borderId="0" xfId="0" applyFont="1" applyFill="1" applyAlignment="1">
      <alignment horizontal="justify" vertical="center" wrapText="1"/>
    </xf>
    <xf numFmtId="167" fontId="10" fillId="2" borderId="0" xfId="1" applyNumberFormat="1" applyFont="1" applyFill="1" applyBorder="1" applyAlignment="1">
      <alignment vertical="center"/>
    </xf>
    <xf numFmtId="169" fontId="8" fillId="2" borderId="1" xfId="0" applyNumberFormat="1" applyFont="1" applyFill="1" applyBorder="1" applyAlignment="1">
      <alignment horizontal="center" vertical="center"/>
    </xf>
    <xf numFmtId="165" fontId="6" fillId="3" borderId="6" xfId="4" applyNumberFormat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wrapText="1"/>
    </xf>
    <xf numFmtId="0" fontId="8" fillId="2" borderId="0" xfId="2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67" fontId="2" fillId="2" borderId="0" xfId="1" applyNumberFormat="1" applyFont="1" applyFill="1" applyBorder="1" applyAlignment="1">
      <alignment horizontal="center" vertical="center"/>
    </xf>
    <xf numFmtId="167" fontId="2" fillId="2" borderId="7" xfId="1" applyNumberFormat="1" applyFont="1" applyFill="1" applyBorder="1" applyAlignment="1">
      <alignment horizontal="center" vertical="center"/>
    </xf>
    <xf numFmtId="171" fontId="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72" fontId="8" fillId="2" borderId="0" xfId="2" applyNumberFormat="1" applyFont="1" applyFill="1" applyAlignment="1">
      <alignment vertical="center"/>
    </xf>
    <xf numFmtId="169" fontId="10" fillId="3" borderId="5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 wrapText="1"/>
    </xf>
    <xf numFmtId="0" fontId="20" fillId="2" borderId="0" xfId="3" applyFont="1" applyFill="1" applyAlignment="1">
      <alignment horizontal="center" vertical="center" wrapText="1"/>
    </xf>
    <xf numFmtId="0" fontId="20" fillId="2" borderId="0" xfId="3" applyFont="1" applyFill="1" applyAlignment="1">
      <alignment horizontal="left" vertical="center" wrapText="1" indent="3"/>
    </xf>
    <xf numFmtId="168" fontId="9" fillId="2" borderId="0" xfId="2" applyNumberFormat="1" applyFont="1" applyFill="1" applyAlignment="1">
      <alignment horizontal="right" vertical="center"/>
    </xf>
    <xf numFmtId="0" fontId="2" fillId="2" borderId="0" xfId="2" applyFont="1" applyFill="1" applyAlignment="1">
      <alignment wrapText="1"/>
    </xf>
    <xf numFmtId="0" fontId="6" fillId="2" borderId="2" xfId="2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left" vertical="center" wrapText="1"/>
    </xf>
    <xf numFmtId="165" fontId="6" fillId="2" borderId="2" xfId="4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67" fontId="2" fillId="2" borderId="1" xfId="1" applyNumberFormat="1" applyFont="1" applyFill="1" applyBorder="1" applyAlignment="1">
      <alignment horizontal="right" vertical="center"/>
    </xf>
    <xf numFmtId="164" fontId="8" fillId="2" borderId="4" xfId="2" applyNumberFormat="1" applyFont="1" applyFill="1" applyBorder="1" applyAlignment="1">
      <alignment horizontal="left" vertical="center" wrapText="1"/>
    </xf>
    <xf numFmtId="167" fontId="2" fillId="4" borderId="0" xfId="1" applyNumberFormat="1" applyFont="1" applyFill="1" applyBorder="1" applyAlignment="1">
      <alignment horizontal="center" vertical="center"/>
    </xf>
    <xf numFmtId="3" fontId="22" fillId="0" borderId="9" xfId="0" applyNumberFormat="1" applyFont="1" applyBorder="1" applyAlignment="1">
      <alignment horizontal="center" vertical="center" wrapText="1"/>
    </xf>
    <xf numFmtId="3" fontId="23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25" fillId="0" borderId="0" xfId="0" applyNumberFormat="1" applyFont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3" fontId="26" fillId="0" borderId="9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7" fontId="28" fillId="0" borderId="0" xfId="0" applyNumberFormat="1" applyFont="1" applyAlignment="1">
      <alignment horizontal="center" vertical="center"/>
    </xf>
    <xf numFmtId="17" fontId="29" fillId="0" borderId="0" xfId="0" applyNumberFormat="1" applyFont="1" applyAlignment="1">
      <alignment horizontal="center" vertical="center"/>
    </xf>
    <xf numFmtId="17" fontId="30" fillId="0" borderId="0" xfId="0" applyNumberFormat="1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3" fontId="32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32" fillId="5" borderId="0" xfId="0" applyNumberFormat="1" applyFont="1" applyFill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wrapText="1"/>
    </xf>
    <xf numFmtId="0" fontId="37" fillId="0" borderId="9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40" fillId="6" borderId="0" xfId="0" applyFont="1" applyFill="1" applyAlignment="1">
      <alignment horizontal="center" vertical="center"/>
    </xf>
    <xf numFmtId="0" fontId="26" fillId="0" borderId="9" xfId="0" applyFont="1" applyBorder="1" applyAlignment="1">
      <alignment horizontal="left" vertical="center" wrapText="1"/>
    </xf>
    <xf numFmtId="3" fontId="22" fillId="0" borderId="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 wrapText="1"/>
    </xf>
    <xf numFmtId="3" fontId="22" fillId="0" borderId="11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167" fontId="19" fillId="0" borderId="0" xfId="1" applyNumberFormat="1" applyFont="1" applyFill="1" applyBorder="1" applyAlignment="1">
      <alignment vertical="center"/>
    </xf>
    <xf numFmtId="17" fontId="2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0" fillId="6" borderId="0" xfId="0" applyFont="1" applyFill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3" fontId="23" fillId="0" borderId="9" xfId="0" applyNumberFormat="1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23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/>
    </xf>
    <xf numFmtId="3" fontId="26" fillId="0" borderId="9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  <xf numFmtId="3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3" fontId="47" fillId="0" borderId="0" xfId="0" applyNumberFormat="1" applyFont="1" applyAlignment="1">
      <alignment horizontal="center" vertical="center" wrapText="1"/>
    </xf>
    <xf numFmtId="3" fontId="26" fillId="0" borderId="11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 wrapText="1"/>
    </xf>
    <xf numFmtId="0" fontId="47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/>
    </xf>
    <xf numFmtId="10" fontId="23" fillId="0" borderId="9" xfId="0" applyNumberFormat="1" applyFont="1" applyBorder="1" applyAlignment="1">
      <alignment horizontal="center" vertical="center"/>
    </xf>
    <xf numFmtId="0" fontId="2" fillId="2" borderId="0" xfId="2" applyFont="1" applyFill="1" applyAlignment="1">
      <alignment horizontal="left" wrapText="1"/>
    </xf>
    <xf numFmtId="0" fontId="49" fillId="0" borderId="0" xfId="0" applyFont="1" applyAlignment="1">
      <alignment horizontal="justify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17" fontId="51" fillId="0" borderId="0" xfId="0" applyNumberFormat="1" applyFont="1" applyAlignment="1">
      <alignment horizontal="center" vertical="center" wrapText="1"/>
    </xf>
    <xf numFmtId="17" fontId="51" fillId="0" borderId="0" xfId="0" applyNumberFormat="1" applyFont="1" applyAlignment="1">
      <alignment horizontal="center" vertical="center"/>
    </xf>
    <xf numFmtId="0" fontId="52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0" fontId="50" fillId="0" borderId="13" xfId="0" applyFont="1" applyBorder="1" applyAlignment="1">
      <alignment horizontal="center" vertical="center"/>
    </xf>
    <xf numFmtId="0" fontId="8" fillId="2" borderId="0" xfId="2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0" fontId="23" fillId="0" borderId="0" xfId="0" applyNumberFormat="1" applyFont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0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42" fillId="0" borderId="9" xfId="0" applyFont="1" applyBorder="1" applyAlignment="1">
      <alignment horizontal="left" vertical="center"/>
    </xf>
    <xf numFmtId="3" fontId="22" fillId="0" borderId="11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vertical="center"/>
    </xf>
    <xf numFmtId="3" fontId="22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7" fontId="30" fillId="0" borderId="0" xfId="0" applyNumberFormat="1" applyFont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 wrapText="1"/>
    </xf>
    <xf numFmtId="3" fontId="22" fillId="0" borderId="1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3" fontId="22" fillId="0" borderId="9" xfId="0" applyNumberFormat="1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3" fontId="25" fillId="0" borderId="0" xfId="0" applyNumberFormat="1" applyFont="1" applyAlignment="1">
      <alignment horizontal="center" vertical="center" wrapText="1"/>
    </xf>
    <xf numFmtId="17" fontId="2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3" fontId="23" fillId="0" borderId="9" xfId="0" applyNumberFormat="1" applyFont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26" fillId="0" borderId="9" xfId="0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27" fillId="0" borderId="0" xfId="0" applyFont="1"/>
    <xf numFmtId="0" fontId="23" fillId="0" borderId="0" xfId="0" applyFont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9" fontId="8" fillId="2" borderId="5" xfId="2" applyNumberFormat="1" applyFont="1" applyFill="1" applyBorder="1" applyAlignment="1">
      <alignment horizontal="center" vertical="center" wrapText="1"/>
    </xf>
    <xf numFmtId="169" fontId="8" fillId="2" borderId="0" xfId="2" applyNumberFormat="1" applyFont="1" applyFill="1" applyAlignment="1">
      <alignment horizontal="center" vertical="center"/>
    </xf>
    <xf numFmtId="169" fontId="8" fillId="2" borderId="3" xfId="2" applyNumberFormat="1" applyFont="1" applyFill="1" applyBorder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/>
    </xf>
    <xf numFmtId="169" fontId="8" fillId="2" borderId="6" xfId="0" applyNumberFormat="1" applyFont="1" applyFill="1" applyBorder="1" applyAlignment="1">
      <alignment horizontal="center" vertical="center"/>
    </xf>
    <xf numFmtId="169" fontId="8" fillId="2" borderId="8" xfId="0" applyNumberFormat="1" applyFont="1" applyFill="1" applyBorder="1" applyAlignment="1">
      <alignment horizontal="center" vertical="center"/>
    </xf>
    <xf numFmtId="165" fontId="6" fillId="3" borderId="2" xfId="4" applyNumberFormat="1" applyFont="1" applyFill="1" applyBorder="1" applyAlignment="1">
      <alignment horizontal="center" vertical="center"/>
    </xf>
    <xf numFmtId="165" fontId="6" fillId="3" borderId="6" xfId="4" applyNumberFormat="1" applyFont="1" applyFill="1" applyBorder="1" applyAlignment="1">
      <alignment horizontal="center" vertical="center"/>
    </xf>
    <xf numFmtId="165" fontId="6" fillId="3" borderId="8" xfId="4" applyNumberFormat="1" applyFont="1" applyFill="1" applyBorder="1" applyAlignment="1">
      <alignment horizontal="center" vertical="center"/>
    </xf>
    <xf numFmtId="165" fontId="8" fillId="2" borderId="2" xfId="4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 indent="1"/>
    </xf>
    <xf numFmtId="3" fontId="23" fillId="0" borderId="0" xfId="0" applyNumberFormat="1" applyFont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</cellXfs>
  <cellStyles count="5">
    <cellStyle name="Comma 2" xfId="4" xr:uid="{C80C2EE6-974D-435B-8C44-7798F87FF03C}"/>
    <cellStyle name="Normal" xfId="0" builtinId="0"/>
    <cellStyle name="Normal 2" xfId="2" xr:uid="{CEA3F89E-A17D-4115-903A-FC6244312532}"/>
    <cellStyle name="Normal 9 2" xfId="3" xr:uid="{800E3B73-9B01-4802-A523-3079B7DE9130}"/>
    <cellStyle name="Vírgula" xfId="1" builtinId="3"/>
  </cellStyles>
  <dxfs count="0"/>
  <tableStyles count="0" defaultTableStyle="TableStyleMedium2" defaultPivotStyle="PivotStyleLight16"/>
  <colors>
    <mruColors>
      <color rgb="FFF9F9F9"/>
      <color rgb="FF008A76"/>
      <color rgb="FF004851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205;ndice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107577</xdr:rowOff>
    </xdr:from>
    <xdr:to>
      <xdr:col>2</xdr:col>
      <xdr:colOff>947243</xdr:colOff>
      <xdr:row>2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489070-C0A9-4B25-8007-6BA898A2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836"/>
          <a:ext cx="2758114" cy="761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2474751</xdr:colOff>
      <xdr:row>3</xdr:row>
      <xdr:rowOff>152399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3FD6E2-3881-440C-B9AF-15503911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9673" cy="768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57150</xdr:colOff>
      <xdr:row>0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06D05B-6055-4570-A698-8031CD9624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080000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1053684</xdr:colOff>
      <xdr:row>31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C479954-65C8-4318-A0C6-27204E5707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734736"/>
          <a:ext cx="10791596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2300914</xdr:colOff>
      <xdr:row>3</xdr:row>
      <xdr:rowOff>197223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1C758DD-0057-4DF4-BC71-169BD8608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2267833</xdr:colOff>
      <xdr:row>2</xdr:row>
      <xdr:rowOff>211393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074312-0B34-46EB-884F-D211484E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2267833</xdr:colOff>
      <xdr:row>3</xdr:row>
      <xdr:rowOff>155676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B42DB6D-6946-4011-8E36-888077C5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2260213</xdr:colOff>
      <xdr:row>3</xdr:row>
      <xdr:rowOff>155676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07CF513-5581-47CC-95D7-8DF1AA35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32850</xdr:colOff>
      <xdr:row>16</xdr:row>
      <xdr:rowOff>0</xdr:rowOff>
    </xdr:from>
    <xdr:to>
      <xdr:col>6</xdr:col>
      <xdr:colOff>0</xdr:colOff>
      <xdr:row>16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4005E12-7A4F-47C5-86A8-C6DB36E7EE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850" y="4143375"/>
          <a:ext cx="676800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2468554</xdr:colOff>
      <xdr:row>3</xdr:row>
      <xdr:rowOff>190499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AE3B70-93A7-4E43-971E-BE8BCA1A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58395</xdr:colOff>
      <xdr:row>13</xdr:row>
      <xdr:rowOff>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9B47202-914E-4EC3-9EAA-A5B72BDD1B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3590925"/>
          <a:ext cx="6804000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2438074</xdr:colOff>
      <xdr:row>4</xdr:row>
      <xdr:rowOff>76199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4F63B4-FD0C-46B5-ADBF-3355780E1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104775</xdr:rowOff>
    </xdr:from>
    <xdr:to>
      <xdr:col>8</xdr:col>
      <xdr:colOff>0</xdr:colOff>
      <xdr:row>17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869D5A8-57EA-4866-AF40-38EEB0F58A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038725"/>
          <a:ext cx="7448550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2467530</xdr:colOff>
      <xdr:row>3</xdr:row>
      <xdr:rowOff>200454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669FA3-CF94-41D6-B898-B356FE1E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2250114</xdr:colOff>
      <xdr:row>3</xdr:row>
      <xdr:rowOff>17779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F7FF46E-C1F1-4EED-BCE7-76010CD3A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2308534</xdr:colOff>
      <xdr:row>4</xdr:row>
      <xdr:rowOff>20394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E34CC92-B268-4A6C-8400-A8A4DAA2F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58114" cy="7619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2264023</xdr:colOff>
      <xdr:row>4</xdr:row>
      <xdr:rowOff>19623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3EC9955-6A32-4852-B48E-B008E981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69688" cy="794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28575</xdr:rowOff>
    </xdr:from>
    <xdr:ext cx="5004000" cy="45719"/>
    <xdr:pic>
      <xdr:nvPicPr>
        <xdr:cNvPr id="2" name="Imagem 1">
          <a:extLst>
            <a:ext uri="{FF2B5EF4-FFF2-40B4-BE49-F238E27FC236}">
              <a16:creationId xmlns:a16="http://schemas.microsoft.com/office/drawing/2014/main" id="{62D86ECE-EC9D-40CC-A0F4-3497D52808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28575"/>
          <a:ext cx="5004000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4</xdr:col>
      <xdr:colOff>609600</xdr:colOff>
      <xdr:row>0</xdr:row>
      <xdr:rowOff>152400</xdr:rowOff>
    </xdr:from>
    <xdr:to>
      <xdr:col>4</xdr:col>
      <xdr:colOff>885827</xdr:colOff>
      <xdr:row>1</xdr:row>
      <xdr:rowOff>171450</xdr:rowOff>
    </xdr:to>
    <xdr:sp macro="" textlink="">
      <xdr:nvSpPr>
        <xdr:cNvPr id="4" name="Seta: para a Direita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1868DA-2879-4ADC-944F-8C1A434EE189}"/>
            </a:ext>
          </a:extLst>
        </xdr:cNvPr>
        <xdr:cNvSpPr/>
      </xdr:nvSpPr>
      <xdr:spPr>
        <a:xfrm rot="10800000">
          <a:off x="4791075" y="152400"/>
          <a:ext cx="276227" cy="209550"/>
        </a:xfrm>
        <a:prstGeom prst="rightArrow">
          <a:avLst/>
        </a:prstGeom>
        <a:ln w="38100">
          <a:solidFill>
            <a:srgbClr val="00485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0</xdr:colOff>
      <xdr:row>49</xdr:row>
      <xdr:rowOff>28575</xdr:rowOff>
    </xdr:from>
    <xdr:ext cx="4943476" cy="45719"/>
    <xdr:pic>
      <xdr:nvPicPr>
        <xdr:cNvPr id="5" name="Imagem 4">
          <a:extLst>
            <a:ext uri="{FF2B5EF4-FFF2-40B4-BE49-F238E27FC236}">
              <a16:creationId xmlns:a16="http://schemas.microsoft.com/office/drawing/2014/main" id="{6D08D5C4-15D9-40DB-BC62-DF021BDDD7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3344525"/>
          <a:ext cx="4943476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47625</xdr:colOff>
      <xdr:row>0</xdr:row>
      <xdr:rowOff>85725</xdr:rowOff>
    </xdr:from>
    <xdr:to>
      <xdr:col>2</xdr:col>
      <xdr:colOff>591864</xdr:colOff>
      <xdr:row>1</xdr:row>
      <xdr:rowOff>149163</xdr:rowOff>
    </xdr:to>
    <xdr:pic>
      <xdr:nvPicPr>
        <xdr:cNvPr id="6" name="Imagem 5" descr="sicoob">
          <a:extLst>
            <a:ext uri="{FF2B5EF4-FFF2-40B4-BE49-F238E27FC236}">
              <a16:creationId xmlns:a16="http://schemas.microsoft.com/office/drawing/2014/main" id="{A9A12CEF-2768-4A6C-8384-E662BF9E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782364" cy="253938"/>
        </a:xfrm>
        <a:prstGeom prst="rect">
          <a:avLst/>
        </a:prstGeom>
        <a:solidFill>
          <a:schemeClr val="accent1"/>
        </a:solidFill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I36"/>
  <sheetViews>
    <sheetView showGridLines="0" tabSelected="1" zoomScale="85" zoomScaleNormal="85" workbookViewId="0">
      <selection activeCell="B11" sqref="B11:C11"/>
    </sheetView>
  </sheetViews>
  <sheetFormatPr defaultColWidth="0" defaultRowHeight="14.4" zeroHeight="1" x14ac:dyDescent="0.3"/>
  <cols>
    <col min="1" max="1" width="1" style="1" customWidth="1"/>
    <col min="2" max="2" width="25.33203125" style="1" customWidth="1"/>
    <col min="3" max="3" width="69.88671875" style="1" customWidth="1"/>
    <col min="4" max="4" width="10.88671875" style="1" customWidth="1"/>
    <col min="5" max="5" width="1" style="1" customWidth="1"/>
    <col min="6" max="7" width="9.109375" style="1" hidden="1" customWidth="1"/>
    <col min="8" max="9" width="0" style="1" hidden="1" customWidth="1"/>
    <col min="10" max="16384" width="9.109375" style="1" hidden="1"/>
  </cols>
  <sheetData>
    <row r="1" spans="1:5" ht="38.4" customHeight="1" x14ac:dyDescent="0.3">
      <c r="A1" s="55"/>
      <c r="B1" s="55"/>
      <c r="C1" s="206" t="s">
        <v>221</v>
      </c>
      <c r="D1" s="55"/>
      <c r="E1" s="55"/>
    </row>
    <row r="2" spans="1:5" ht="22.2" customHeight="1" x14ac:dyDescent="0.3">
      <c r="A2" s="55"/>
      <c r="B2" s="55"/>
      <c r="C2" s="206"/>
      <c r="D2" s="55"/>
      <c r="E2" s="55"/>
    </row>
    <row r="3" spans="1:5" ht="15" customHeight="1" x14ac:dyDescent="0.3">
      <c r="A3" s="55"/>
      <c r="B3" s="55"/>
      <c r="C3" s="55"/>
      <c r="D3" s="55"/>
      <c r="E3" s="55"/>
    </row>
    <row r="4" spans="1:5" ht="16.8" x14ac:dyDescent="0.3">
      <c r="A4" s="55"/>
      <c r="B4" s="3"/>
      <c r="C4" s="3"/>
      <c r="D4" s="3"/>
      <c r="E4" s="55"/>
    </row>
    <row r="5" spans="1:5" ht="20.399999999999999" x14ac:dyDescent="0.3">
      <c r="A5" s="55"/>
      <c r="B5" s="210" t="s">
        <v>0</v>
      </c>
      <c r="C5" s="210"/>
      <c r="D5" s="3"/>
      <c r="E5" s="55"/>
    </row>
    <row r="6" spans="1:5" ht="20.25" customHeight="1" x14ac:dyDescent="0.3">
      <c r="A6" s="55"/>
      <c r="B6" s="207" t="s">
        <v>1</v>
      </c>
      <c r="C6" s="207"/>
      <c r="D6" s="3"/>
      <c r="E6" s="55"/>
    </row>
    <row r="7" spans="1:5" ht="20.25" customHeight="1" x14ac:dyDescent="0.3">
      <c r="A7" s="55"/>
      <c r="B7" s="208" t="s">
        <v>2</v>
      </c>
      <c r="C7" s="208"/>
      <c r="D7" s="3"/>
      <c r="E7" s="55"/>
    </row>
    <row r="8" spans="1:5" ht="16.8" x14ac:dyDescent="0.3">
      <c r="A8" s="55"/>
      <c r="B8" s="3"/>
      <c r="C8" s="3"/>
      <c r="D8" s="3"/>
      <c r="E8" s="55"/>
    </row>
    <row r="9" spans="1:5" ht="20.399999999999999" x14ac:dyDescent="0.3">
      <c r="A9" s="55"/>
      <c r="B9" s="210" t="s">
        <v>3</v>
      </c>
      <c r="C9" s="210"/>
      <c r="D9" s="3"/>
      <c r="E9" s="55"/>
    </row>
    <row r="10" spans="1:5" ht="16.8" x14ac:dyDescent="0.3">
      <c r="A10" s="55"/>
      <c r="B10" s="208" t="s">
        <v>4</v>
      </c>
      <c r="C10" s="208"/>
      <c r="D10" s="3"/>
      <c r="E10" s="55"/>
    </row>
    <row r="11" spans="1:5" ht="16.8" x14ac:dyDescent="0.3">
      <c r="A11" s="55"/>
      <c r="B11" s="208" t="s">
        <v>5</v>
      </c>
      <c r="C11" s="208"/>
      <c r="D11" s="3"/>
      <c r="E11" s="55"/>
    </row>
    <row r="12" spans="1:5" ht="16.8" x14ac:dyDescent="0.3">
      <c r="A12" s="55"/>
      <c r="B12" s="208" t="s">
        <v>6</v>
      </c>
      <c r="C12" s="208"/>
      <c r="D12" s="3"/>
      <c r="E12" s="55"/>
    </row>
    <row r="13" spans="1:5" x14ac:dyDescent="0.3">
      <c r="A13" s="55"/>
      <c r="B13" s="55"/>
      <c r="C13" s="55"/>
      <c r="D13" s="55"/>
      <c r="E13" s="55"/>
    </row>
    <row r="14" spans="1:5" ht="20.399999999999999" hidden="1" x14ac:dyDescent="0.3">
      <c r="A14" s="55"/>
      <c r="B14" s="210" t="s">
        <v>3</v>
      </c>
      <c r="C14" s="210"/>
      <c r="D14" s="55"/>
      <c r="E14" s="55"/>
    </row>
    <row r="15" spans="1:5" ht="16.8" hidden="1" x14ac:dyDescent="0.3">
      <c r="A15" s="55"/>
      <c r="B15" s="209" t="s">
        <v>4</v>
      </c>
      <c r="C15" s="209"/>
      <c r="D15" s="55"/>
      <c r="E15" s="55"/>
    </row>
    <row r="16" spans="1:5" ht="16.8" hidden="1" x14ac:dyDescent="0.3">
      <c r="A16" s="55"/>
      <c r="B16" s="209" t="s">
        <v>7</v>
      </c>
      <c r="C16" s="209"/>
      <c r="D16" s="55"/>
      <c r="E16" s="55"/>
    </row>
    <row r="17" spans="1:5" ht="16.8" hidden="1" x14ac:dyDescent="0.3">
      <c r="A17" s="55"/>
      <c r="B17" s="3"/>
      <c r="C17" s="3"/>
      <c r="D17" s="55"/>
      <c r="E17" s="55"/>
    </row>
    <row r="18" spans="1:5" ht="20.399999999999999" x14ac:dyDescent="0.3">
      <c r="A18" s="55"/>
      <c r="B18" s="210" t="s">
        <v>8</v>
      </c>
      <c r="C18" s="210"/>
      <c r="D18" s="55"/>
      <c r="E18" s="55"/>
    </row>
    <row r="19" spans="1:5" ht="16.8" x14ac:dyDescent="0.3">
      <c r="A19" s="55"/>
      <c r="B19" s="209" t="s">
        <v>9</v>
      </c>
      <c r="C19" s="208"/>
      <c r="D19" s="55"/>
      <c r="E19" s="55"/>
    </row>
    <row r="20" spans="1:5" ht="15" customHeight="1" x14ac:dyDescent="0.3">
      <c r="A20" s="55"/>
      <c r="B20" s="212"/>
      <c r="C20" s="212"/>
      <c r="D20" s="55"/>
      <c r="E20" s="55"/>
    </row>
    <row r="21" spans="1:5" ht="20.399999999999999" x14ac:dyDescent="0.3">
      <c r="A21" s="55"/>
      <c r="B21" s="210" t="s">
        <v>10</v>
      </c>
      <c r="C21" s="210"/>
      <c r="D21" s="55"/>
      <c r="E21" s="55"/>
    </row>
    <row r="22" spans="1:5" ht="16.8" x14ac:dyDescent="0.3">
      <c r="A22" s="55"/>
      <c r="B22" s="208" t="s">
        <v>11</v>
      </c>
      <c r="C22" s="208"/>
      <c r="D22" s="55"/>
      <c r="E22" s="55"/>
    </row>
    <row r="23" spans="1:5" ht="16.8" x14ac:dyDescent="0.3">
      <c r="A23" s="55"/>
      <c r="B23" s="3"/>
      <c r="C23" s="3"/>
      <c r="D23" s="55"/>
      <c r="E23" s="55"/>
    </row>
    <row r="24" spans="1:5" ht="20.25" customHeight="1" x14ac:dyDescent="0.3">
      <c r="A24" s="55"/>
      <c r="B24" s="210" t="s">
        <v>12</v>
      </c>
      <c r="C24" s="210"/>
      <c r="D24" s="3"/>
      <c r="E24" s="55"/>
    </row>
    <row r="25" spans="1:5" ht="20.25" customHeight="1" x14ac:dyDescent="0.3">
      <c r="A25" s="55"/>
      <c r="B25" s="208" t="s">
        <v>13</v>
      </c>
      <c r="C25" s="208"/>
      <c r="D25" s="3"/>
      <c r="E25" s="55"/>
    </row>
    <row r="26" spans="1:5" ht="20.25" customHeight="1" x14ac:dyDescent="0.3">
      <c r="A26" s="55"/>
      <c r="B26" s="208" t="s">
        <v>14</v>
      </c>
      <c r="C26" s="208"/>
      <c r="D26" s="3"/>
      <c r="E26" s="55"/>
    </row>
    <row r="27" spans="1:5" ht="20.25" customHeight="1" x14ac:dyDescent="0.3">
      <c r="A27" s="55"/>
      <c r="B27" s="208" t="s">
        <v>15</v>
      </c>
      <c r="C27" s="208"/>
      <c r="D27" s="3"/>
      <c r="E27" s="55"/>
    </row>
    <row r="28" spans="1:5" ht="16.8" x14ac:dyDescent="0.3">
      <c r="A28" s="55"/>
      <c r="B28" s="3"/>
      <c r="C28" s="3"/>
      <c r="D28" s="3"/>
      <c r="E28" s="55"/>
    </row>
    <row r="29" spans="1:5" ht="23.25" customHeight="1" x14ac:dyDescent="0.3">
      <c r="A29" s="55"/>
      <c r="B29" s="210" t="s">
        <v>16</v>
      </c>
      <c r="C29" s="210"/>
      <c r="D29" s="55"/>
      <c r="E29" s="55"/>
    </row>
    <row r="30" spans="1:5" ht="15" customHeight="1" x14ac:dyDescent="0.3">
      <c r="A30" s="55"/>
      <c r="B30" s="212"/>
      <c r="C30" s="212"/>
      <c r="D30" s="55"/>
      <c r="E30" s="55"/>
    </row>
    <row r="31" spans="1:5" x14ac:dyDescent="0.3">
      <c r="A31" s="55"/>
      <c r="B31" s="55"/>
      <c r="C31" s="55"/>
      <c r="D31" s="55"/>
      <c r="E31" s="55"/>
    </row>
    <row r="32" spans="1:5" ht="23.25" customHeight="1" x14ac:dyDescent="0.3">
      <c r="A32" s="55"/>
      <c r="B32" s="211" t="s">
        <v>17</v>
      </c>
      <c r="C32" s="211"/>
      <c r="D32" s="55"/>
      <c r="E32" s="55"/>
    </row>
    <row r="33" spans="1:5" ht="15" customHeight="1" x14ac:dyDescent="0.3">
      <c r="A33" s="55"/>
      <c r="B33" s="212"/>
      <c r="C33" s="212"/>
      <c r="D33" s="55"/>
      <c r="E33" s="55"/>
    </row>
    <row r="34" spans="1:5" x14ac:dyDescent="0.3"/>
    <row r="35" spans="1:5" x14ac:dyDescent="0.3"/>
    <row r="36" spans="1:5" x14ac:dyDescent="0.3"/>
  </sheetData>
  <mergeCells count="24">
    <mergeCell ref="B32:C32"/>
    <mergeCell ref="B33:C33"/>
    <mergeCell ref="B19:C19"/>
    <mergeCell ref="B16:C16"/>
    <mergeCell ref="B30:C30"/>
    <mergeCell ref="B29:C29"/>
    <mergeCell ref="B20:C20"/>
    <mergeCell ref="B21:C21"/>
    <mergeCell ref="B22:C22"/>
    <mergeCell ref="B24:C24"/>
    <mergeCell ref="B25:C25"/>
    <mergeCell ref="B26:C26"/>
    <mergeCell ref="B27:C27"/>
    <mergeCell ref="C1:C2"/>
    <mergeCell ref="B6:C6"/>
    <mergeCell ref="B7:C7"/>
    <mergeCell ref="B15:C15"/>
    <mergeCell ref="B18:C18"/>
    <mergeCell ref="B14:C14"/>
    <mergeCell ref="B5:C5"/>
    <mergeCell ref="B9:C9"/>
    <mergeCell ref="B10:C10"/>
    <mergeCell ref="B11:C11"/>
    <mergeCell ref="B12:C12"/>
  </mergeCells>
  <hyperlinks>
    <hyperlink ref="B7" location="'OV1'!A1" display="             OV1 - Visão geral dos ativos ponderados pelo risco (RWA)" xr:uid="{0A0695D7-256C-4176-851C-0FC7C491180E}"/>
    <hyperlink ref="B6" location="'KM1'!A1" display="             KM1 - Informações quantitativas sobre os requerimentos prudenciais" xr:uid="{4F5D5313-19EA-414C-84F7-8BDCB11AE08D}"/>
    <hyperlink ref="B15" location="'MR1'!A1" display="             MR1 - Abordagem padronizada - fatores de risco associados ao risco de mercado" xr:uid="{A1CE7F92-F5DC-416D-92BA-DC8093D51600}"/>
    <hyperlink ref="B10" location="'MR1'!A1" display="             MR1 - Abordagem padronizada - fatores de risco associados ao risco de mercado" xr:uid="{BE6B7D7F-DD0B-4D08-949D-0269253180B7}"/>
    <hyperlink ref="B10:C10" location="'CR1'!A1" display="CR1 - Qualidade creditícia das exposições" xr:uid="{93D4DF4F-DAA3-4F77-A588-818F5F001066}"/>
    <hyperlink ref="B11" location="'MR1'!A1" display="             MR1 - Abordagem padronizada - fatores de risco associados ao risco de mercado" xr:uid="{5EFE08DF-F0A0-47E3-8FC1-EDAC92027C40}"/>
    <hyperlink ref="B11:C11" location="'CR2'!A1" display="CR2 - Mudanças no estoque de operações em curso anormal" xr:uid="{B5904A44-7C86-46DF-BAA7-58600EAE372C}"/>
    <hyperlink ref="B22:C22" location="IRRBB1!A1" display="             IRRBB1 - Informações quantitativas sobre o IRRBB" xr:uid="{FE217023-BEFA-4AD4-92D8-2CCFC16AAEBB}"/>
    <hyperlink ref="B12:C12" location="CRB!A1" display="             CRB - Informações adicionais sobre a qualidade creditícia das exposições" xr:uid="{1C808CA2-FDD9-44B6-B351-6EC4DA18F72E}"/>
    <hyperlink ref="B29" location="Derivativos!A1" display="3. Derivativos" xr:uid="{77E5C601-6873-4B0A-8017-66C056B6AF37}"/>
    <hyperlink ref="B19" location="'MR1'!A1" display="             MR1 - Abordagem padronizada - fatores de risco associados ao risco de mercado" xr:uid="{40B1291D-87C4-4CA5-8887-8532D6ABBA5B}"/>
    <hyperlink ref="B15:C15" location="'CR1'!A1" display="             CR1 - Qualidade creditícia das exposições" xr:uid="{B5B63293-2796-4ED9-A5F2-B781C3104E41}"/>
    <hyperlink ref="B16:C16" location="'CR2'!A1" display="             CR2 - Mudanças no estoque de operações em curso anormal" xr:uid="{BFC5206D-BBC6-49D1-8A10-6D0BDAA70F45}"/>
    <hyperlink ref="B25:C25" location="'OR1'!A1" display="             OR1 - Histórico de perdas operacionais" xr:uid="{CF2B4930-CD38-46D3-A7A8-B3ECB095831E}"/>
    <hyperlink ref="B26:C26" location="'OR2'!A1" display="             OR2 - Composição do Indicador de Negócios (BI)" xr:uid="{23A5B057-8676-4456-8FBC-B4040A3A53E5}"/>
    <hyperlink ref="B27:C27" location="'OR3'!A1" display="             OR3 - requerimento de capital para o risco operacional" xr:uid="{DE3CC997-994F-48A0-8E76-CB7F1A3FCBA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4BC4-505D-4AA1-BE8C-174913C9F6AC}">
  <sheetPr>
    <pageSetUpPr fitToPage="1"/>
  </sheetPr>
  <dimension ref="A1:J67"/>
  <sheetViews>
    <sheetView showGridLines="0" zoomScale="115" zoomScaleNormal="115" workbookViewId="0"/>
  </sheetViews>
  <sheetFormatPr defaultColWidth="0" defaultRowHeight="0" customHeight="1" zeroHeight="1" x14ac:dyDescent="0.3"/>
  <cols>
    <col min="1" max="1" width="1.6640625" style="7" customWidth="1"/>
    <col min="2" max="2" width="2.5546875" style="16" bestFit="1" customWidth="1"/>
    <col min="3" max="3" width="52.109375" style="17" customWidth="1"/>
    <col min="4" max="5" width="7.21875" style="7" bestFit="1" customWidth="1"/>
    <col min="6" max="7" width="6.6640625" style="7" bestFit="1" customWidth="1"/>
    <col min="8" max="8" width="6.77734375" style="7" bestFit="1" customWidth="1"/>
    <col min="9" max="9" width="2.6640625" style="7" customWidth="1"/>
    <col min="10" max="10" width="0" style="7" hidden="1" customWidth="1"/>
    <col min="11" max="16384" width="9.109375" style="7" hidden="1"/>
  </cols>
  <sheetData>
    <row r="1" spans="1:9" ht="15" x14ac:dyDescent="0.3">
      <c r="A1" s="4"/>
      <c r="B1" s="56"/>
      <c r="C1" s="6"/>
      <c r="D1" s="10"/>
      <c r="E1" s="10"/>
      <c r="F1" s="10"/>
      <c r="G1" s="10"/>
      <c r="H1" s="10"/>
      <c r="I1" s="4"/>
    </row>
    <row r="2" spans="1:9" ht="15" x14ac:dyDescent="0.3">
      <c r="A2" s="4"/>
      <c r="B2" s="9"/>
      <c r="C2" s="6"/>
      <c r="D2" s="11"/>
      <c r="E2" s="11"/>
      <c r="F2" s="4"/>
      <c r="G2" s="4"/>
      <c r="H2" s="12"/>
      <c r="I2" s="4"/>
    </row>
    <row r="3" spans="1:9" ht="18" customHeight="1" x14ac:dyDescent="0.3">
      <c r="A3" s="4"/>
      <c r="B3" s="72"/>
      <c r="C3" s="72"/>
      <c r="D3" s="58"/>
      <c r="E3" s="58"/>
      <c r="F3" s="58"/>
      <c r="G3" s="58"/>
      <c r="H3" s="58"/>
      <c r="I3" s="4"/>
    </row>
    <row r="4" spans="1:9" ht="18" customHeight="1" x14ac:dyDescent="0.25">
      <c r="A4" s="4"/>
      <c r="B4" s="115"/>
      <c r="C4" s="114"/>
      <c r="D4" s="131" t="s">
        <v>19</v>
      </c>
      <c r="E4" s="131" t="s">
        <v>20</v>
      </c>
      <c r="F4" s="131" t="s">
        <v>21</v>
      </c>
      <c r="G4" s="131" t="s">
        <v>22</v>
      </c>
      <c r="H4" s="131" t="s">
        <v>23</v>
      </c>
      <c r="I4" s="4"/>
    </row>
    <row r="5" spans="1:9" ht="18" customHeight="1" x14ac:dyDescent="0.3">
      <c r="A5" s="4"/>
      <c r="B5" s="214" t="s">
        <v>222</v>
      </c>
      <c r="C5" s="214"/>
      <c r="D5" s="111">
        <v>45992</v>
      </c>
      <c r="E5" s="112">
        <v>45901</v>
      </c>
      <c r="F5" s="113">
        <v>45809</v>
      </c>
      <c r="G5" s="113">
        <v>45717</v>
      </c>
      <c r="H5" s="113">
        <v>45627</v>
      </c>
      <c r="I5" s="4"/>
    </row>
    <row r="6" spans="1:9" ht="18" customHeight="1" thickBot="1" x14ac:dyDescent="0.35">
      <c r="A6" s="4"/>
      <c r="B6" s="115"/>
      <c r="C6" s="115"/>
      <c r="D6" s="115"/>
      <c r="E6" s="115"/>
      <c r="F6" s="115"/>
      <c r="G6" s="115"/>
      <c r="H6" s="115"/>
      <c r="I6" s="4"/>
    </row>
    <row r="7" spans="1:9" ht="18" customHeight="1" thickTop="1" x14ac:dyDescent="0.3">
      <c r="A7" s="4"/>
      <c r="B7" s="213" t="s">
        <v>223</v>
      </c>
      <c r="C7" s="213"/>
      <c r="D7" s="213"/>
      <c r="E7" s="213"/>
      <c r="F7" s="213"/>
      <c r="G7" s="213"/>
      <c r="H7" s="213"/>
      <c r="I7" s="4"/>
    </row>
    <row r="8" spans="1:9" ht="18" customHeight="1" x14ac:dyDescent="0.3">
      <c r="A8" s="4"/>
      <c r="B8" s="118">
        <v>1</v>
      </c>
      <c r="C8" s="118" t="s">
        <v>24</v>
      </c>
      <c r="D8" s="119">
        <v>3423710</v>
      </c>
      <c r="E8" s="119">
        <v>3364700</v>
      </c>
      <c r="F8" s="119">
        <v>3230207</v>
      </c>
      <c r="G8" s="119">
        <v>3128108</v>
      </c>
      <c r="H8" s="119">
        <v>3002519</v>
      </c>
      <c r="I8" s="4"/>
    </row>
    <row r="9" spans="1:9" ht="18" customHeight="1" x14ac:dyDescent="0.3">
      <c r="A9" s="4"/>
      <c r="B9" s="214" t="s">
        <v>25</v>
      </c>
      <c r="C9" s="120" t="s">
        <v>224</v>
      </c>
      <c r="D9" s="220" t="s">
        <v>226</v>
      </c>
      <c r="E9" s="221">
        <v>3362170</v>
      </c>
      <c r="F9" s="221">
        <v>3227677</v>
      </c>
      <c r="G9" s="218" t="s">
        <v>26</v>
      </c>
      <c r="H9" s="218" t="s">
        <v>26</v>
      </c>
      <c r="I9" s="4"/>
    </row>
    <row r="10" spans="1:9" ht="18" customHeight="1" x14ac:dyDescent="0.3">
      <c r="A10" s="4"/>
      <c r="B10" s="214"/>
      <c r="C10" s="120" t="s">
        <v>225</v>
      </c>
      <c r="D10" s="220"/>
      <c r="E10" s="221"/>
      <c r="F10" s="221"/>
      <c r="G10" s="218"/>
      <c r="H10" s="218"/>
      <c r="I10" s="4"/>
    </row>
    <row r="11" spans="1:9" ht="15" x14ac:dyDescent="0.3">
      <c r="B11" s="118">
        <v>2</v>
      </c>
      <c r="C11" s="118" t="s">
        <v>27</v>
      </c>
      <c r="D11" s="119">
        <v>3423710</v>
      </c>
      <c r="E11" s="119">
        <v>3364700</v>
      </c>
      <c r="F11" s="119">
        <v>3230207</v>
      </c>
      <c r="G11" s="119">
        <v>3128108</v>
      </c>
      <c r="H11" s="119">
        <v>3002519</v>
      </c>
    </row>
    <row r="12" spans="1:9" ht="15" x14ac:dyDescent="0.3">
      <c r="B12" s="110" t="s">
        <v>28</v>
      </c>
      <c r="C12" s="110" t="s">
        <v>29</v>
      </c>
      <c r="D12" s="122">
        <v>3421180</v>
      </c>
      <c r="E12" s="122">
        <v>3362170</v>
      </c>
      <c r="F12" s="122">
        <v>3227677</v>
      </c>
      <c r="G12" s="106" t="s">
        <v>139</v>
      </c>
      <c r="H12" s="106" t="s">
        <v>139</v>
      </c>
    </row>
    <row r="13" spans="1:9" ht="15" x14ac:dyDescent="0.3">
      <c r="B13" s="118">
        <v>3</v>
      </c>
      <c r="C13" s="118" t="s">
        <v>30</v>
      </c>
      <c r="D13" s="119">
        <v>3423710</v>
      </c>
      <c r="E13" s="119">
        <v>3364700</v>
      </c>
      <c r="F13" s="119">
        <v>3230207</v>
      </c>
      <c r="G13" s="119">
        <v>3128108</v>
      </c>
      <c r="H13" s="119">
        <v>3002519</v>
      </c>
      <c r="I13" s="133"/>
    </row>
    <row r="14" spans="1:9" ht="15" x14ac:dyDescent="0.3">
      <c r="B14" s="110" t="s">
        <v>31</v>
      </c>
      <c r="C14" s="110" t="s">
        <v>32</v>
      </c>
      <c r="D14" s="122">
        <v>3421180</v>
      </c>
      <c r="E14" s="122">
        <v>3362170</v>
      </c>
      <c r="F14" s="122">
        <v>3227677</v>
      </c>
      <c r="G14" s="106" t="s">
        <v>227</v>
      </c>
      <c r="H14" s="106" t="s">
        <v>26</v>
      </c>
    </row>
    <row r="15" spans="1:9" ht="15" x14ac:dyDescent="0.3">
      <c r="B15" s="110" t="s">
        <v>33</v>
      </c>
      <c r="C15" s="110" t="s">
        <v>34</v>
      </c>
      <c r="D15" s="106" t="s">
        <v>26</v>
      </c>
      <c r="E15" s="106" t="s">
        <v>26</v>
      </c>
      <c r="F15" s="106" t="s">
        <v>26</v>
      </c>
      <c r="G15" s="106" t="s">
        <v>228</v>
      </c>
      <c r="H15" s="106" t="s">
        <v>26</v>
      </c>
    </row>
    <row r="16" spans="1:9" ht="15" x14ac:dyDescent="0.3">
      <c r="B16" s="110" t="s">
        <v>35</v>
      </c>
      <c r="C16" s="110" t="s">
        <v>36</v>
      </c>
      <c r="D16" s="106" t="s">
        <v>26</v>
      </c>
      <c r="E16" s="106" t="s">
        <v>26</v>
      </c>
      <c r="F16" s="106" t="s">
        <v>26</v>
      </c>
      <c r="G16" s="106" t="s">
        <v>228</v>
      </c>
      <c r="H16" s="106" t="s">
        <v>26</v>
      </c>
    </row>
    <row r="17" spans="2:8" ht="15" hidden="1" customHeight="1" x14ac:dyDescent="0.3">
      <c r="B17" s="110" t="s">
        <v>37</v>
      </c>
      <c r="C17" s="110" t="s">
        <v>38</v>
      </c>
      <c r="D17" s="106" t="s">
        <v>26</v>
      </c>
      <c r="E17" s="106" t="s">
        <v>26</v>
      </c>
      <c r="F17" s="106" t="s">
        <v>26</v>
      </c>
      <c r="G17" s="106" t="s">
        <v>228</v>
      </c>
      <c r="H17" s="106" t="s">
        <v>26</v>
      </c>
    </row>
    <row r="18" spans="2:8" ht="15" hidden="1" customHeight="1" x14ac:dyDescent="0.3">
      <c r="B18" s="213" t="s">
        <v>229</v>
      </c>
      <c r="C18" s="213"/>
      <c r="D18" s="213"/>
      <c r="E18" s="213"/>
      <c r="F18" s="213"/>
      <c r="G18" s="213"/>
      <c r="H18" s="213"/>
    </row>
    <row r="19" spans="2:8" ht="15" hidden="1" customHeight="1" x14ac:dyDescent="0.3">
      <c r="B19" s="110">
        <v>4</v>
      </c>
      <c r="C19" s="110" t="s">
        <v>230</v>
      </c>
      <c r="D19" s="122">
        <v>11765529</v>
      </c>
      <c r="E19" s="122">
        <v>11747476</v>
      </c>
      <c r="F19" s="122">
        <v>11113386</v>
      </c>
      <c r="G19" s="122">
        <v>11449863</v>
      </c>
      <c r="H19" s="122">
        <v>11574064</v>
      </c>
    </row>
    <row r="20" spans="2:8" ht="15" customHeight="1" thickBot="1" x14ac:dyDescent="0.35">
      <c r="B20" s="110" t="s">
        <v>39</v>
      </c>
      <c r="C20" s="120" t="s">
        <v>231</v>
      </c>
      <c r="D20" s="122">
        <v>11762999</v>
      </c>
      <c r="E20" s="122">
        <v>11744946</v>
      </c>
      <c r="F20" s="122">
        <v>11110856</v>
      </c>
      <c r="G20" s="121" t="s">
        <v>26</v>
      </c>
      <c r="H20" s="121" t="s">
        <v>26</v>
      </c>
    </row>
    <row r="21" spans="2:8" ht="15" customHeight="1" thickTop="1" x14ac:dyDescent="0.3">
      <c r="B21" s="213" t="s">
        <v>40</v>
      </c>
      <c r="C21" s="213"/>
      <c r="D21" s="213"/>
      <c r="E21" s="213"/>
      <c r="F21" s="213"/>
      <c r="G21" s="213"/>
      <c r="H21" s="213"/>
    </row>
    <row r="22" spans="2:8" ht="15" customHeight="1" x14ac:dyDescent="0.3">
      <c r="B22" s="118">
        <v>5</v>
      </c>
      <c r="C22" s="118" t="s">
        <v>41</v>
      </c>
      <c r="D22" s="123">
        <v>0.29099999999999998</v>
      </c>
      <c r="E22" s="124">
        <v>0.28639999999999999</v>
      </c>
      <c r="F22" s="124">
        <v>0.29070000000000001</v>
      </c>
      <c r="G22" s="124">
        <v>0.2732</v>
      </c>
      <c r="H22" s="124">
        <v>0.25940000000000002</v>
      </c>
    </row>
    <row r="23" spans="2:8" ht="15" customHeight="1" x14ac:dyDescent="0.3">
      <c r="B23" s="214" t="s">
        <v>42</v>
      </c>
      <c r="C23" s="120" t="s">
        <v>232</v>
      </c>
      <c r="D23" s="218" t="s">
        <v>235</v>
      </c>
      <c r="E23" s="222">
        <v>0.2863</v>
      </c>
      <c r="F23" s="222">
        <v>0.29049999999999998</v>
      </c>
      <c r="G23" s="220" t="s">
        <v>26</v>
      </c>
      <c r="H23" s="220" t="s">
        <v>26</v>
      </c>
    </row>
    <row r="24" spans="2:8" ht="15" customHeight="1" x14ac:dyDescent="0.3">
      <c r="B24" s="214"/>
      <c r="C24" s="120" t="s">
        <v>233</v>
      </c>
      <c r="D24" s="218"/>
      <c r="E24" s="222"/>
      <c r="F24" s="222"/>
      <c r="G24" s="220"/>
      <c r="H24" s="220"/>
    </row>
    <row r="25" spans="2:8" ht="15" customHeight="1" x14ac:dyDescent="0.3">
      <c r="B25" s="214"/>
      <c r="C25" s="120" t="s">
        <v>234</v>
      </c>
      <c r="D25" s="218"/>
      <c r="E25" s="222"/>
      <c r="F25" s="222"/>
      <c r="G25" s="220"/>
      <c r="H25" s="220"/>
    </row>
    <row r="26" spans="2:8" ht="15" customHeight="1" x14ac:dyDescent="0.3">
      <c r="B26" s="118">
        <v>6</v>
      </c>
      <c r="C26" s="118" t="s">
        <v>43</v>
      </c>
      <c r="D26" s="123">
        <v>0.29099999999999998</v>
      </c>
      <c r="E26" s="124">
        <v>0.28639999999999999</v>
      </c>
      <c r="F26" s="124">
        <v>0.29070000000000001</v>
      </c>
      <c r="G26" s="124">
        <v>0.2732</v>
      </c>
      <c r="H26" s="124">
        <v>0.25940000000000002</v>
      </c>
    </row>
    <row r="27" spans="2:8" ht="15" customHeight="1" x14ac:dyDescent="0.3">
      <c r="B27" s="214" t="s">
        <v>44</v>
      </c>
      <c r="C27" s="120" t="s">
        <v>236</v>
      </c>
      <c r="D27" s="218" t="s">
        <v>235</v>
      </c>
      <c r="E27" s="222">
        <v>0.2863</v>
      </c>
      <c r="F27" s="222">
        <v>0.29049999999999998</v>
      </c>
      <c r="G27" s="220" t="s">
        <v>26</v>
      </c>
      <c r="H27" s="220" t="s">
        <v>26</v>
      </c>
    </row>
    <row r="28" spans="2:8" ht="15" customHeight="1" x14ac:dyDescent="0.3">
      <c r="B28" s="214"/>
      <c r="C28" s="120" t="s">
        <v>237</v>
      </c>
      <c r="D28" s="218"/>
      <c r="E28" s="222"/>
      <c r="F28" s="222"/>
      <c r="G28" s="220"/>
      <c r="H28" s="220"/>
    </row>
    <row r="29" spans="2:8" ht="15" customHeight="1" x14ac:dyDescent="0.3">
      <c r="B29" s="214"/>
      <c r="C29" s="120" t="s">
        <v>234</v>
      </c>
      <c r="D29" s="218"/>
      <c r="E29" s="222"/>
      <c r="F29" s="222"/>
      <c r="G29" s="220"/>
      <c r="H29" s="220"/>
    </row>
    <row r="30" spans="2:8" ht="15" customHeight="1" x14ac:dyDescent="0.3">
      <c r="B30" s="118">
        <v>7</v>
      </c>
      <c r="C30" s="118" t="s">
        <v>45</v>
      </c>
      <c r="D30" s="123">
        <v>0.29099999999999998</v>
      </c>
      <c r="E30" s="124">
        <v>0.28639999999999999</v>
      </c>
      <c r="F30" s="124">
        <v>0.29070000000000001</v>
      </c>
      <c r="G30" s="124">
        <v>0.2732</v>
      </c>
      <c r="H30" s="124">
        <v>0.25940000000000002</v>
      </c>
    </row>
    <row r="31" spans="2:8" ht="15" customHeight="1" x14ac:dyDescent="0.3">
      <c r="B31" s="214" t="s">
        <v>46</v>
      </c>
      <c r="C31" s="120" t="s">
        <v>238</v>
      </c>
      <c r="D31" s="218" t="s">
        <v>235</v>
      </c>
      <c r="E31" s="222">
        <v>0.2863</v>
      </c>
      <c r="F31" s="222">
        <v>0.29049999999999998</v>
      </c>
      <c r="G31" s="220" t="s">
        <v>26</v>
      </c>
      <c r="H31" s="220" t="s">
        <v>26</v>
      </c>
    </row>
    <row r="32" spans="2:8" ht="15" customHeight="1" x14ac:dyDescent="0.3">
      <c r="B32" s="214"/>
      <c r="C32" s="120" t="s">
        <v>239</v>
      </c>
      <c r="D32" s="218"/>
      <c r="E32" s="222"/>
      <c r="F32" s="222"/>
      <c r="G32" s="220"/>
      <c r="H32" s="220"/>
    </row>
    <row r="33" spans="2:8" ht="15" customHeight="1" thickBot="1" x14ac:dyDescent="0.35">
      <c r="B33" s="215"/>
      <c r="C33" s="120" t="s">
        <v>234</v>
      </c>
      <c r="D33" s="219"/>
      <c r="E33" s="223"/>
      <c r="F33" s="223"/>
      <c r="G33" s="224"/>
      <c r="H33" s="224"/>
    </row>
    <row r="34" spans="2:8" ht="15" customHeight="1" thickTop="1" x14ac:dyDescent="0.3">
      <c r="B34" s="213" t="s">
        <v>47</v>
      </c>
      <c r="C34" s="213"/>
      <c r="D34" s="213"/>
      <c r="E34" s="213"/>
      <c r="F34" s="213"/>
      <c r="G34" s="213"/>
      <c r="H34" s="213"/>
    </row>
    <row r="35" spans="2:8" ht="15" customHeight="1" x14ac:dyDescent="0.3">
      <c r="B35" s="110">
        <v>8</v>
      </c>
      <c r="C35" s="110" t="s">
        <v>240</v>
      </c>
      <c r="D35" s="126">
        <v>2.5000000000000001E-2</v>
      </c>
      <c r="E35" s="125">
        <v>2.5000000000000001E-2</v>
      </c>
      <c r="F35" s="125">
        <v>2.5000000000000001E-2</v>
      </c>
      <c r="G35" s="125">
        <v>2.5000000000000001E-2</v>
      </c>
      <c r="H35" s="125">
        <v>2.5000000000000001E-2</v>
      </c>
    </row>
    <row r="36" spans="2:8" ht="15" customHeight="1" x14ac:dyDescent="0.3">
      <c r="B36" s="110">
        <v>9</v>
      </c>
      <c r="C36" s="110" t="s">
        <v>241</v>
      </c>
      <c r="D36" s="126">
        <v>0</v>
      </c>
      <c r="E36" s="125">
        <v>0</v>
      </c>
      <c r="F36" s="125">
        <v>0</v>
      </c>
      <c r="G36" s="125">
        <v>0</v>
      </c>
      <c r="H36" s="125">
        <v>0</v>
      </c>
    </row>
    <row r="37" spans="2:8" ht="15" customHeight="1" x14ac:dyDescent="0.3">
      <c r="B37" s="110">
        <v>10</v>
      </c>
      <c r="C37" s="110" t="s">
        <v>242</v>
      </c>
      <c r="D37" s="126">
        <v>0</v>
      </c>
      <c r="E37" s="125">
        <v>0</v>
      </c>
      <c r="F37" s="125">
        <v>0</v>
      </c>
      <c r="G37" s="125">
        <v>0</v>
      </c>
      <c r="H37" s="125">
        <v>0</v>
      </c>
    </row>
    <row r="38" spans="2:8" ht="15" customHeight="1" x14ac:dyDescent="0.3">
      <c r="B38" s="110">
        <v>11</v>
      </c>
      <c r="C38" s="110" t="s">
        <v>243</v>
      </c>
      <c r="D38" s="126">
        <v>2.5000000000000001E-2</v>
      </c>
      <c r="E38" s="125">
        <v>2.5000000000000001E-2</v>
      </c>
      <c r="F38" s="125">
        <v>2.5000000000000001E-2</v>
      </c>
      <c r="G38" s="125">
        <v>2.5000000000000001E-2</v>
      </c>
      <c r="H38" s="125">
        <v>2.5000000000000001E-2</v>
      </c>
    </row>
    <row r="39" spans="2:8" ht="15" customHeight="1" x14ac:dyDescent="0.3">
      <c r="B39" s="110">
        <v>12</v>
      </c>
      <c r="C39" s="110" t="s">
        <v>244</v>
      </c>
      <c r="D39" s="125">
        <v>0.221</v>
      </c>
      <c r="E39" s="125">
        <v>0.21640000000000001</v>
      </c>
      <c r="F39" s="125">
        <v>0.22070000000000001</v>
      </c>
      <c r="G39" s="125">
        <v>0.20319999999999999</v>
      </c>
      <c r="H39" s="125">
        <v>0.18940000000000001</v>
      </c>
    </row>
    <row r="40" spans="2:8" ht="15" customHeight="1" thickBot="1" x14ac:dyDescent="0.35">
      <c r="B40" s="110" t="s">
        <v>48</v>
      </c>
      <c r="C40" s="110" t="s">
        <v>49</v>
      </c>
      <c r="D40" s="125">
        <v>0.2208</v>
      </c>
      <c r="E40" s="125">
        <v>0.21629999999999999</v>
      </c>
      <c r="F40" s="125">
        <v>0.2205</v>
      </c>
      <c r="G40" s="121" t="s">
        <v>26</v>
      </c>
      <c r="H40" s="121" t="s">
        <v>26</v>
      </c>
    </row>
    <row r="41" spans="2:8" ht="15" customHeight="1" thickTop="1" x14ac:dyDescent="0.3">
      <c r="B41" s="213" t="s">
        <v>50</v>
      </c>
      <c r="C41" s="213"/>
      <c r="D41" s="213"/>
      <c r="E41" s="213"/>
      <c r="F41" s="213"/>
      <c r="G41" s="213"/>
      <c r="H41" s="213"/>
    </row>
    <row r="42" spans="2:8" ht="15" customHeight="1" x14ac:dyDescent="0.3">
      <c r="B42" s="110">
        <v>13</v>
      </c>
      <c r="C42" s="110" t="s">
        <v>51</v>
      </c>
      <c r="D42" s="105">
        <v>18708348</v>
      </c>
      <c r="E42" s="122">
        <v>18294030</v>
      </c>
      <c r="F42" s="122">
        <v>16941302</v>
      </c>
      <c r="G42" s="122">
        <v>16628610</v>
      </c>
      <c r="H42" s="122">
        <v>16565051</v>
      </c>
    </row>
    <row r="43" spans="2:8" ht="15" customHeight="1" x14ac:dyDescent="0.3">
      <c r="B43" s="110" t="s">
        <v>52</v>
      </c>
      <c r="C43" s="120" t="s">
        <v>245</v>
      </c>
      <c r="D43" s="105">
        <v>18705818</v>
      </c>
      <c r="E43" s="122">
        <v>18291502</v>
      </c>
      <c r="F43" s="122">
        <v>16938773</v>
      </c>
      <c r="G43" s="121" t="s">
        <v>26</v>
      </c>
      <c r="H43" s="121" t="s">
        <v>26</v>
      </c>
    </row>
    <row r="44" spans="2:8" ht="15" customHeight="1" x14ac:dyDescent="0.3">
      <c r="B44" s="110">
        <v>14</v>
      </c>
      <c r="C44" s="110" t="s">
        <v>53</v>
      </c>
      <c r="D44" s="126">
        <v>0.183</v>
      </c>
      <c r="E44" s="125">
        <v>0.18390000000000001</v>
      </c>
      <c r="F44" s="125">
        <v>0.19070000000000001</v>
      </c>
      <c r="G44" s="125">
        <v>0.18809999999999999</v>
      </c>
      <c r="H44" s="125">
        <v>0.18129999999999999</v>
      </c>
    </row>
    <row r="45" spans="2:8" ht="15" customHeight="1" x14ac:dyDescent="0.3">
      <c r="B45" s="214" t="s">
        <v>54</v>
      </c>
      <c r="C45" s="110" t="s">
        <v>246</v>
      </c>
      <c r="D45" s="216">
        <v>0.18290000000000001</v>
      </c>
      <c r="E45" s="222">
        <v>0.18379999999999999</v>
      </c>
      <c r="F45" s="222">
        <v>0.1905</v>
      </c>
      <c r="G45" s="220" t="s">
        <v>26</v>
      </c>
      <c r="H45" s="220" t="s">
        <v>26</v>
      </c>
    </row>
    <row r="46" spans="2:8" ht="15" customHeight="1" x14ac:dyDescent="0.3">
      <c r="B46" s="214"/>
      <c r="C46" s="110" t="s">
        <v>247</v>
      </c>
      <c r="D46" s="216"/>
      <c r="E46" s="222"/>
      <c r="F46" s="222"/>
      <c r="G46" s="220"/>
      <c r="H46" s="220"/>
    </row>
    <row r="47" spans="2:8" ht="15" customHeight="1" thickBot="1" x14ac:dyDescent="0.35">
      <c r="B47" s="215"/>
      <c r="C47" s="110" t="s">
        <v>248</v>
      </c>
      <c r="D47" s="217"/>
      <c r="E47" s="223"/>
      <c r="F47" s="223"/>
      <c r="G47" s="224"/>
      <c r="H47" s="224"/>
    </row>
    <row r="48" spans="2:8" ht="15" customHeight="1" thickTop="1" x14ac:dyDescent="0.3">
      <c r="B48" s="213" t="s">
        <v>55</v>
      </c>
      <c r="C48" s="213"/>
      <c r="D48" s="213"/>
      <c r="E48" s="213"/>
      <c r="F48" s="213"/>
      <c r="G48" s="213"/>
      <c r="H48" s="213"/>
    </row>
    <row r="49" spans="2:8" ht="15" customHeight="1" x14ac:dyDescent="0.3">
      <c r="B49" s="110">
        <v>15</v>
      </c>
      <c r="C49" s="110" t="s">
        <v>56</v>
      </c>
      <c r="D49" s="121" t="s">
        <v>57</v>
      </c>
      <c r="E49" s="121" t="s">
        <v>57</v>
      </c>
      <c r="F49" s="121" t="s">
        <v>57</v>
      </c>
      <c r="G49" s="121" t="s">
        <v>57</v>
      </c>
      <c r="H49" s="121" t="s">
        <v>57</v>
      </c>
    </row>
    <row r="50" spans="2:8" ht="15" x14ac:dyDescent="0.3">
      <c r="B50" s="110">
        <v>16</v>
      </c>
      <c r="C50" s="110" t="s">
        <v>58</v>
      </c>
      <c r="D50" s="121" t="s">
        <v>57</v>
      </c>
      <c r="E50" s="121" t="s">
        <v>57</v>
      </c>
      <c r="F50" s="121" t="s">
        <v>57</v>
      </c>
      <c r="G50" s="121" t="s">
        <v>57</v>
      </c>
      <c r="H50" s="121" t="s">
        <v>57</v>
      </c>
    </row>
    <row r="51" spans="2:8" ht="15.6" thickBot="1" x14ac:dyDescent="0.35">
      <c r="B51" s="110">
        <v>17</v>
      </c>
      <c r="C51" s="110" t="s">
        <v>59</v>
      </c>
      <c r="D51" s="121" t="s">
        <v>57</v>
      </c>
      <c r="E51" s="121" t="s">
        <v>57</v>
      </c>
      <c r="F51" s="121" t="s">
        <v>57</v>
      </c>
      <c r="G51" s="121" t="s">
        <v>57</v>
      </c>
      <c r="H51" s="121" t="s">
        <v>57</v>
      </c>
    </row>
    <row r="52" spans="2:8" ht="15" customHeight="1" thickTop="1" x14ac:dyDescent="0.3">
      <c r="B52" s="213" t="s">
        <v>60</v>
      </c>
      <c r="C52" s="213"/>
      <c r="D52" s="213"/>
      <c r="E52" s="213"/>
      <c r="F52" s="213"/>
      <c r="G52" s="213"/>
      <c r="H52" s="213"/>
    </row>
    <row r="53" spans="2:8" ht="15" customHeight="1" x14ac:dyDescent="0.3">
      <c r="B53" s="110">
        <v>18</v>
      </c>
      <c r="C53" s="110" t="s">
        <v>61</v>
      </c>
      <c r="D53" s="121" t="s">
        <v>57</v>
      </c>
      <c r="E53" s="121" t="s">
        <v>57</v>
      </c>
      <c r="F53" s="121" t="s">
        <v>57</v>
      </c>
      <c r="G53" s="121" t="s">
        <v>57</v>
      </c>
      <c r="H53" s="121" t="s">
        <v>57</v>
      </c>
    </row>
    <row r="54" spans="2:8" ht="15" customHeight="1" x14ac:dyDescent="0.3">
      <c r="B54" s="110">
        <v>19</v>
      </c>
      <c r="C54" s="110" t="s">
        <v>62</v>
      </c>
      <c r="D54" s="121" t="s">
        <v>57</v>
      </c>
      <c r="E54" s="121" t="s">
        <v>57</v>
      </c>
      <c r="F54" s="121" t="s">
        <v>57</v>
      </c>
      <c r="G54" s="121" t="s">
        <v>57</v>
      </c>
      <c r="H54" s="121" t="s">
        <v>57</v>
      </c>
    </row>
    <row r="55" spans="2:8" ht="15" customHeight="1" thickBot="1" x14ac:dyDescent="0.35">
      <c r="B55" s="127">
        <v>20</v>
      </c>
      <c r="C55" s="127" t="s">
        <v>63</v>
      </c>
      <c r="D55" s="128" t="s">
        <v>57</v>
      </c>
      <c r="E55" s="128" t="s">
        <v>57</v>
      </c>
      <c r="F55" s="128" t="s">
        <v>57</v>
      </c>
      <c r="G55" s="128" t="s">
        <v>57</v>
      </c>
      <c r="H55" s="128" t="s">
        <v>57</v>
      </c>
    </row>
    <row r="56" spans="2:8" ht="15" customHeight="1" thickTop="1" x14ac:dyDescent="0.3"/>
    <row r="57" spans="2:8" ht="15" customHeight="1" x14ac:dyDescent="0.3">
      <c r="C57" s="132"/>
    </row>
    <row r="58" spans="2:8" ht="15" customHeight="1" x14ac:dyDescent="0.3"/>
    <row r="59" spans="2:8" ht="15" customHeight="1" x14ac:dyDescent="0.3"/>
    <row r="60" spans="2:8" ht="15" customHeight="1" x14ac:dyDescent="0.3"/>
    <row r="61" spans="2:8" ht="15" customHeight="1" x14ac:dyDescent="0.3"/>
    <row r="62" spans="2:8" ht="15" customHeight="1" x14ac:dyDescent="0.3"/>
    <row r="63" spans="2:8" ht="15" customHeight="1" x14ac:dyDescent="0.3"/>
    <row r="64" spans="2:8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38">
    <mergeCell ref="G31:G33"/>
    <mergeCell ref="H31:H33"/>
    <mergeCell ref="E27:E29"/>
    <mergeCell ref="F27:F29"/>
    <mergeCell ref="G27:G29"/>
    <mergeCell ref="H27:H29"/>
    <mergeCell ref="G23:G25"/>
    <mergeCell ref="B5:C5"/>
    <mergeCell ref="B7:H7"/>
    <mergeCell ref="B9:B10"/>
    <mergeCell ref="D9:D10"/>
    <mergeCell ref="B18:H18"/>
    <mergeCell ref="E9:E10"/>
    <mergeCell ref="F9:F10"/>
    <mergeCell ref="G9:G10"/>
    <mergeCell ref="H9:H10"/>
    <mergeCell ref="B21:H21"/>
    <mergeCell ref="B23:B25"/>
    <mergeCell ref="H23:H25"/>
    <mergeCell ref="D23:D25"/>
    <mergeCell ref="E23:E25"/>
    <mergeCell ref="F23:F25"/>
    <mergeCell ref="B52:H52"/>
    <mergeCell ref="B45:B47"/>
    <mergeCell ref="D45:D47"/>
    <mergeCell ref="B48:H48"/>
    <mergeCell ref="B27:B29"/>
    <mergeCell ref="D27:D29"/>
    <mergeCell ref="B31:B33"/>
    <mergeCell ref="D31:D33"/>
    <mergeCell ref="B34:H34"/>
    <mergeCell ref="B41:H41"/>
    <mergeCell ref="E45:E47"/>
    <mergeCell ref="F45:F47"/>
    <mergeCell ref="G45:G47"/>
    <mergeCell ref="H45:H47"/>
    <mergeCell ref="E31:E33"/>
    <mergeCell ref="F31:F3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&amp;L&amp;"Aptos"&amp;10&amp;K000000 ## Restrito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XFC35"/>
  <sheetViews>
    <sheetView showGridLines="0" zoomScaleNormal="100" workbookViewId="0"/>
  </sheetViews>
  <sheetFormatPr defaultColWidth="0" defaultRowHeight="0" customHeight="1" zeroHeight="1" x14ac:dyDescent="0.3"/>
  <cols>
    <col min="1" max="1" width="1.6640625" style="7" customWidth="1"/>
    <col min="2" max="2" width="5" style="16" customWidth="1"/>
    <col min="3" max="3" width="107.44140625" style="16" bestFit="1" customWidth="1"/>
    <col min="4" max="6" width="16" style="7" customWidth="1"/>
    <col min="7" max="7" width="17.21875" style="7" bestFit="1" customWidth="1"/>
    <col min="8" max="16382" width="9.109375" style="7" hidden="1"/>
    <col min="16383" max="16383" width="8.88671875" style="7" hidden="1"/>
    <col min="16384" max="16384" width="18.5546875" style="7" hidden="1"/>
  </cols>
  <sheetData>
    <row r="1" spans="1:7" ht="15" x14ac:dyDescent="0.3">
      <c r="A1" s="4"/>
      <c r="B1" s="26"/>
      <c r="C1" s="5"/>
      <c r="D1" s="4"/>
      <c r="E1" s="4"/>
      <c r="F1" s="4"/>
      <c r="G1" s="4"/>
    </row>
    <row r="2" spans="1:7" ht="15" x14ac:dyDescent="0.3">
      <c r="A2" s="4"/>
      <c r="B2" s="56"/>
      <c r="C2" s="5"/>
      <c r="D2" s="4"/>
      <c r="E2" s="4"/>
      <c r="F2" s="12"/>
      <c r="G2" s="4"/>
    </row>
    <row r="3" spans="1:7" ht="15" x14ac:dyDescent="0.3">
      <c r="A3" s="4"/>
      <c r="B3" s="9"/>
      <c r="C3" s="5"/>
      <c r="D3" s="5"/>
      <c r="E3" s="4"/>
      <c r="F3" s="12" t="s">
        <v>18</v>
      </c>
      <c r="G3" s="4"/>
    </row>
    <row r="4" spans="1:7" ht="15.6" thickBot="1" x14ac:dyDescent="0.35">
      <c r="A4" s="4"/>
      <c r="B4" s="9"/>
      <c r="C4" s="5"/>
      <c r="D4" s="5"/>
      <c r="E4" s="4"/>
      <c r="F4" s="12"/>
      <c r="G4" s="4"/>
    </row>
    <row r="5" spans="1:7" ht="15.6" thickTop="1" x14ac:dyDescent="0.25">
      <c r="A5" s="4"/>
      <c r="B5" s="114"/>
      <c r="C5" s="134"/>
      <c r="D5" s="234" t="s">
        <v>19</v>
      </c>
      <c r="E5" s="234"/>
      <c r="F5" s="135" t="s">
        <v>20</v>
      </c>
      <c r="G5" s="135" t="s">
        <v>21</v>
      </c>
    </row>
    <row r="6" spans="1:7" ht="15" x14ac:dyDescent="0.3">
      <c r="A6" s="4"/>
      <c r="B6" s="235"/>
      <c r="C6" s="235"/>
      <c r="D6" s="236" t="s">
        <v>64</v>
      </c>
      <c r="E6" s="236"/>
      <c r="F6" s="236"/>
      <c r="G6" s="136" t="s">
        <v>249</v>
      </c>
    </row>
    <row r="7" spans="1:7" ht="15" x14ac:dyDescent="0.3">
      <c r="A7" s="4"/>
      <c r="B7" s="214" t="s">
        <v>222</v>
      </c>
      <c r="C7" s="214"/>
      <c r="D7" s="111">
        <v>45992</v>
      </c>
      <c r="E7" s="237">
        <v>45901</v>
      </c>
      <c r="F7" s="237"/>
      <c r="G7" s="111">
        <v>45992</v>
      </c>
    </row>
    <row r="8" spans="1:7" ht="15.6" thickBot="1" x14ac:dyDescent="0.35">
      <c r="A8" s="4"/>
      <c r="B8" s="115"/>
      <c r="C8" s="137"/>
      <c r="D8" s="138"/>
      <c r="E8" s="232"/>
      <c r="F8" s="232"/>
      <c r="G8" s="138"/>
    </row>
    <row r="9" spans="1:7" ht="15.6" thickTop="1" x14ac:dyDescent="0.3">
      <c r="A9" s="4"/>
      <c r="B9" s="117">
        <v>1</v>
      </c>
      <c r="C9" s="139" t="s">
        <v>65</v>
      </c>
      <c r="D9" s="140">
        <v>10678990</v>
      </c>
      <c r="E9" s="233">
        <v>10660937</v>
      </c>
      <c r="F9" s="233"/>
      <c r="G9" s="140">
        <v>854319</v>
      </c>
    </row>
    <row r="10" spans="1:7" ht="15" x14ac:dyDescent="0.3">
      <c r="A10" s="4"/>
      <c r="B10" s="110">
        <v>2</v>
      </c>
      <c r="C10" s="120" t="s">
        <v>250</v>
      </c>
      <c r="D10" s="141">
        <v>10678990</v>
      </c>
      <c r="E10" s="221">
        <v>10660937</v>
      </c>
      <c r="F10" s="221"/>
      <c r="G10" s="122">
        <v>854319</v>
      </c>
    </row>
    <row r="11" spans="1:7" ht="15" x14ac:dyDescent="0.3">
      <c r="A11" s="4"/>
      <c r="B11" s="110">
        <v>3</v>
      </c>
      <c r="C11" s="120" t="s">
        <v>251</v>
      </c>
      <c r="D11" s="142" t="s">
        <v>139</v>
      </c>
      <c r="E11" s="218" t="s">
        <v>139</v>
      </c>
      <c r="F11" s="218"/>
      <c r="G11" s="142" t="s">
        <v>139</v>
      </c>
    </row>
    <row r="12" spans="1:7" ht="15" x14ac:dyDescent="0.3">
      <c r="A12" s="4"/>
      <c r="B12" s="110">
        <v>5</v>
      </c>
      <c r="C12" s="120" t="s">
        <v>252</v>
      </c>
      <c r="D12" s="121" t="s">
        <v>57</v>
      </c>
      <c r="E12" s="220" t="s">
        <v>57</v>
      </c>
      <c r="F12" s="220"/>
      <c r="G12" s="143" t="s">
        <v>57</v>
      </c>
    </row>
    <row r="13" spans="1:7" ht="15" x14ac:dyDescent="0.3">
      <c r="A13" s="4"/>
      <c r="B13" s="116">
        <v>6</v>
      </c>
      <c r="C13" s="144" t="s">
        <v>66</v>
      </c>
      <c r="D13" s="145">
        <v>0</v>
      </c>
      <c r="E13" s="229">
        <v>0</v>
      </c>
      <c r="F13" s="229"/>
      <c r="G13" s="145">
        <v>0</v>
      </c>
    </row>
    <row r="14" spans="1:7" ht="15" x14ac:dyDescent="0.3">
      <c r="A14" s="4"/>
      <c r="B14" s="110">
        <v>7</v>
      </c>
      <c r="C14" s="120" t="s">
        <v>253</v>
      </c>
      <c r="D14" s="142" t="s">
        <v>139</v>
      </c>
      <c r="E14" s="218" t="s">
        <v>139</v>
      </c>
      <c r="F14" s="218"/>
      <c r="G14" s="142" t="s">
        <v>139</v>
      </c>
    </row>
    <row r="15" spans="1:7" ht="15" x14ac:dyDescent="0.3">
      <c r="A15" s="4"/>
      <c r="B15" s="110" t="s">
        <v>46</v>
      </c>
      <c r="C15" s="120" t="s">
        <v>254</v>
      </c>
      <c r="D15" s="142" t="s">
        <v>139</v>
      </c>
      <c r="E15" s="218" t="s">
        <v>139</v>
      </c>
      <c r="F15" s="218"/>
      <c r="G15" s="106" t="s">
        <v>139</v>
      </c>
    </row>
    <row r="16" spans="1:7" ht="15" x14ac:dyDescent="0.3">
      <c r="A16" s="4"/>
      <c r="B16" s="110">
        <v>9</v>
      </c>
      <c r="C16" s="120" t="s">
        <v>255</v>
      </c>
      <c r="D16" s="142" t="s">
        <v>139</v>
      </c>
      <c r="E16" s="218" t="s">
        <v>139</v>
      </c>
      <c r="F16" s="218"/>
      <c r="G16" s="142" t="s">
        <v>139</v>
      </c>
    </row>
    <row r="17" spans="1:7" ht="15" x14ac:dyDescent="0.3">
      <c r="A17" s="4"/>
      <c r="B17" s="116">
        <v>12</v>
      </c>
      <c r="C17" s="144" t="s">
        <v>67</v>
      </c>
      <c r="D17" s="145">
        <v>0</v>
      </c>
      <c r="E17" s="229">
        <v>0</v>
      </c>
      <c r="F17" s="229"/>
      <c r="G17" s="145">
        <v>0</v>
      </c>
    </row>
    <row r="18" spans="1:7" ht="15" x14ac:dyDescent="0.3">
      <c r="A18" s="4"/>
      <c r="B18" s="116">
        <v>13</v>
      </c>
      <c r="C18" s="144" t="s">
        <v>68</v>
      </c>
      <c r="D18" s="145">
        <v>0</v>
      </c>
      <c r="E18" s="229">
        <v>0</v>
      </c>
      <c r="F18" s="229"/>
      <c r="G18" s="145">
        <v>0</v>
      </c>
    </row>
    <row r="19" spans="1:7" ht="15" x14ac:dyDescent="0.3">
      <c r="A19" s="4"/>
      <c r="B19" s="116">
        <v>14</v>
      </c>
      <c r="C19" s="144" t="s">
        <v>69</v>
      </c>
      <c r="D19" s="145">
        <v>0</v>
      </c>
      <c r="E19" s="229">
        <v>0</v>
      </c>
      <c r="F19" s="229"/>
      <c r="G19" s="145">
        <v>0</v>
      </c>
    </row>
    <row r="20" spans="1:7" ht="15.6" thickBot="1" x14ac:dyDescent="0.35">
      <c r="A20" s="4"/>
      <c r="B20" s="146">
        <v>16</v>
      </c>
      <c r="C20" s="147" t="s">
        <v>256</v>
      </c>
      <c r="D20" s="148">
        <v>0</v>
      </c>
      <c r="E20" s="230">
        <v>0</v>
      </c>
      <c r="F20" s="230"/>
      <c r="G20" s="148">
        <v>0</v>
      </c>
    </row>
    <row r="21" spans="1:7" ht="15.6" thickTop="1" x14ac:dyDescent="0.3">
      <c r="A21" s="4"/>
      <c r="B21" s="116">
        <v>20</v>
      </c>
      <c r="C21" s="144" t="s">
        <v>70</v>
      </c>
      <c r="D21" s="145">
        <v>0</v>
      </c>
      <c r="E21" s="231">
        <v>0</v>
      </c>
      <c r="F21" s="231"/>
      <c r="G21" s="145">
        <v>0</v>
      </c>
    </row>
    <row r="22" spans="1:7" ht="15" x14ac:dyDescent="0.3">
      <c r="A22" s="4"/>
      <c r="B22" s="110">
        <v>21</v>
      </c>
      <c r="C22" s="120" t="s">
        <v>257</v>
      </c>
      <c r="D22" s="142" t="s">
        <v>139</v>
      </c>
      <c r="E22" s="218" t="s">
        <v>139</v>
      </c>
      <c r="F22" s="218"/>
      <c r="G22" s="142" t="s">
        <v>139</v>
      </c>
    </row>
    <row r="23" spans="1:7" ht="15.6" thickBot="1" x14ac:dyDescent="0.35">
      <c r="A23" s="4"/>
      <c r="B23" s="110">
        <v>22</v>
      </c>
      <c r="C23" s="120" t="s">
        <v>258</v>
      </c>
      <c r="D23" s="142" t="s">
        <v>139</v>
      </c>
      <c r="E23" s="219" t="s">
        <v>139</v>
      </c>
      <c r="F23" s="219"/>
      <c r="G23" s="142" t="s">
        <v>139</v>
      </c>
    </row>
    <row r="24" spans="1:7" ht="16.2" thickTop="1" thickBot="1" x14ac:dyDescent="0.35">
      <c r="A24" s="4"/>
      <c r="B24" s="117">
        <v>24</v>
      </c>
      <c r="C24" s="139" t="s">
        <v>71</v>
      </c>
      <c r="D24" s="140">
        <v>1086539</v>
      </c>
      <c r="E24" s="226">
        <v>1086539</v>
      </c>
      <c r="F24" s="226"/>
      <c r="G24" s="140">
        <v>86923</v>
      </c>
    </row>
    <row r="25" spans="1:7" ht="16.2" thickTop="1" thickBot="1" x14ac:dyDescent="0.35">
      <c r="A25" s="4"/>
      <c r="B25" s="149" t="s">
        <v>72</v>
      </c>
      <c r="C25" s="150" t="s">
        <v>259</v>
      </c>
      <c r="D25" s="151" t="s">
        <v>57</v>
      </c>
      <c r="E25" s="227" t="s">
        <v>57</v>
      </c>
      <c r="F25" s="227"/>
      <c r="G25" s="151" t="s">
        <v>57</v>
      </c>
    </row>
    <row r="26" spans="1:7" ht="16.2" thickTop="1" thickBot="1" x14ac:dyDescent="0.35">
      <c r="A26" s="4"/>
      <c r="B26" s="116">
        <v>25</v>
      </c>
      <c r="C26" s="144" t="s">
        <v>73</v>
      </c>
      <c r="D26" s="142" t="s">
        <v>139</v>
      </c>
      <c r="E26" s="228" t="s">
        <v>139</v>
      </c>
      <c r="F26" s="228"/>
      <c r="G26" s="142" t="s">
        <v>139</v>
      </c>
    </row>
    <row r="27" spans="1:7" ht="16.2" thickTop="1" thickBot="1" x14ac:dyDescent="0.35">
      <c r="A27" s="4"/>
      <c r="B27" s="152">
        <v>29</v>
      </c>
      <c r="C27" s="153" t="s">
        <v>260</v>
      </c>
      <c r="D27" s="154">
        <v>11765529</v>
      </c>
      <c r="E27" s="226">
        <v>11747476</v>
      </c>
      <c r="F27" s="226"/>
      <c r="G27" s="154">
        <v>941242</v>
      </c>
    </row>
    <row r="28" spans="1:7" ht="15.6" thickTop="1" x14ac:dyDescent="0.3">
      <c r="A28" s="4"/>
      <c r="B28" s="225" t="s">
        <v>261</v>
      </c>
      <c r="C28" s="225"/>
      <c r="D28" s="225"/>
      <c r="E28" s="225"/>
      <c r="F28" s="225"/>
      <c r="G28" s="225"/>
    </row>
    <row r="29" spans="1:7" ht="15" x14ac:dyDescent="0.3">
      <c r="A29" s="4"/>
      <c r="B29" s="9"/>
      <c r="C29" s="5"/>
      <c r="D29" s="5"/>
      <c r="E29" s="4"/>
      <c r="F29" s="12"/>
      <c r="G29" s="4"/>
    </row>
    <row r="30" spans="1:7" ht="15" x14ac:dyDescent="0.3">
      <c r="A30" s="4"/>
      <c r="B30" s="9"/>
      <c r="C30" s="5"/>
      <c r="D30" s="5"/>
      <c r="E30" s="4"/>
      <c r="F30" s="12"/>
      <c r="G30" s="4"/>
    </row>
    <row r="31" spans="1:7" ht="15" x14ac:dyDescent="0.3">
      <c r="A31" s="4"/>
      <c r="B31" s="9"/>
      <c r="C31" s="5"/>
      <c r="D31" s="5"/>
      <c r="E31" s="4"/>
      <c r="F31" s="12"/>
      <c r="G31" s="4"/>
    </row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</sheetData>
  <mergeCells count="26">
    <mergeCell ref="D5:E5"/>
    <mergeCell ref="B6:C6"/>
    <mergeCell ref="D6:F6"/>
    <mergeCell ref="B7:C7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B28:G28"/>
    <mergeCell ref="E23:F23"/>
    <mergeCell ref="E24:F24"/>
    <mergeCell ref="E25:F25"/>
    <mergeCell ref="E26:F26"/>
    <mergeCell ref="E27:F27"/>
  </mergeCells>
  <pageMargins left="0.511811024" right="0.511811024" top="0.78740157499999996" bottom="0.78740157499999996" header="0.31496062000000002" footer="0.31496062000000002"/>
  <headerFooter>
    <oddHeader>&amp;L&amp;"Aptos"&amp;10&amp;K000000 ## Restrito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088-4203-46D9-88CD-99EC212B740D}">
  <sheetPr>
    <pageSetUpPr fitToPage="1"/>
  </sheetPr>
  <dimension ref="A1:N35"/>
  <sheetViews>
    <sheetView showGridLines="0" zoomScale="93" zoomScaleNormal="93" workbookViewId="0"/>
  </sheetViews>
  <sheetFormatPr defaultColWidth="0" defaultRowHeight="0" customHeight="1" zeroHeight="1" x14ac:dyDescent="0.3"/>
  <cols>
    <col min="1" max="1" width="1.6640625" style="7" customWidth="1"/>
    <col min="2" max="2" width="5.6640625" style="16" customWidth="1"/>
    <col min="3" max="3" width="52.109375" style="17" customWidth="1"/>
    <col min="4" max="4" width="17.44140625" style="7" customWidth="1"/>
    <col min="5" max="5" width="13.77734375" style="7" bestFit="1" customWidth="1"/>
    <col min="6" max="7" width="17.44140625" style="7" customWidth="1"/>
    <col min="8" max="8" width="17" style="7" bestFit="1" customWidth="1"/>
    <col min="9" max="9" width="17.109375" style="7" bestFit="1" customWidth="1"/>
    <col min="10" max="10" width="12.5546875" style="7" customWidth="1"/>
    <col min="11" max="14" width="0" style="7" hidden="1" customWidth="1"/>
    <col min="15" max="16384" width="9.109375" style="7" hidden="1"/>
  </cols>
  <sheetData>
    <row r="1" spans="2:10" ht="15" x14ac:dyDescent="0.3">
      <c r="B1" s="56"/>
      <c r="C1" s="6"/>
      <c r="D1" s="10"/>
      <c r="E1" s="10"/>
      <c r="F1" s="10"/>
      <c r="G1" s="10"/>
      <c r="H1" s="10"/>
      <c r="I1" s="10"/>
      <c r="J1" s="4"/>
    </row>
    <row r="2" spans="2:10" ht="20.100000000000001" customHeight="1" x14ac:dyDescent="0.3">
      <c r="B2" s="58"/>
      <c r="C2" s="63"/>
      <c r="D2" s="14"/>
      <c r="E2" s="64"/>
      <c r="F2" s="64"/>
      <c r="G2" s="64"/>
      <c r="H2" s="64"/>
      <c r="I2" s="64"/>
      <c r="J2" s="4"/>
    </row>
    <row r="3" spans="2:10" ht="20.100000000000001" customHeight="1" x14ac:dyDescent="0.3">
      <c r="B3" s="58"/>
      <c r="C3" s="63"/>
      <c r="D3" s="14"/>
      <c r="E3" s="64"/>
      <c r="F3" s="64"/>
      <c r="G3" s="64"/>
      <c r="H3" s="64"/>
      <c r="I3" s="64"/>
      <c r="J3" s="4"/>
    </row>
    <row r="4" spans="2:10" ht="20.100000000000001" customHeight="1" x14ac:dyDescent="0.25">
      <c r="B4" s="115"/>
      <c r="C4" s="114"/>
      <c r="D4" s="246">
        <v>45992</v>
      </c>
      <c r="E4" s="246"/>
      <c r="F4" s="246"/>
      <c r="G4" s="246"/>
      <c r="H4" s="246"/>
      <c r="I4" s="246"/>
      <c r="J4" s="246"/>
    </row>
    <row r="5" spans="2:10" ht="20.100000000000001" customHeight="1" thickBot="1" x14ac:dyDescent="0.3">
      <c r="B5" s="115"/>
      <c r="C5" s="134"/>
      <c r="D5" s="156" t="s">
        <v>19</v>
      </c>
      <c r="E5" s="156" t="s">
        <v>20</v>
      </c>
      <c r="F5" s="247" t="s">
        <v>21</v>
      </c>
      <c r="G5" s="247"/>
      <c r="H5" s="157" t="s">
        <v>22</v>
      </c>
      <c r="I5" s="157" t="s">
        <v>75</v>
      </c>
      <c r="J5" s="157" t="s">
        <v>76</v>
      </c>
    </row>
    <row r="6" spans="2:10" ht="20.100000000000001" customHeight="1" thickTop="1" thickBot="1" x14ac:dyDescent="0.35">
      <c r="B6" s="115"/>
      <c r="C6" s="158"/>
      <c r="D6" s="248" t="s">
        <v>77</v>
      </c>
      <c r="E6" s="248"/>
      <c r="F6" s="159"/>
      <c r="G6" s="249"/>
      <c r="H6" s="249"/>
      <c r="I6" s="160"/>
      <c r="J6" s="161"/>
    </row>
    <row r="7" spans="2:10" ht="113.4" customHeight="1" thickTop="1" x14ac:dyDescent="0.3">
      <c r="B7" s="214" t="s">
        <v>222</v>
      </c>
      <c r="C7" s="214"/>
      <c r="D7" s="250" t="s">
        <v>79</v>
      </c>
      <c r="E7" s="250" t="s">
        <v>80</v>
      </c>
      <c r="F7" s="252" t="s">
        <v>262</v>
      </c>
      <c r="G7" s="252"/>
      <c r="H7" s="252" t="s">
        <v>263</v>
      </c>
      <c r="I7" s="97" t="s">
        <v>264</v>
      </c>
      <c r="J7" s="240" t="s">
        <v>266</v>
      </c>
    </row>
    <row r="8" spans="2:10" ht="20.100000000000001" customHeight="1" thickBot="1" x14ac:dyDescent="0.35">
      <c r="B8" s="215"/>
      <c r="C8" s="215"/>
      <c r="D8" s="251"/>
      <c r="E8" s="251"/>
      <c r="F8" s="251"/>
      <c r="G8" s="251"/>
      <c r="H8" s="251"/>
      <c r="I8" s="97" t="s">
        <v>265</v>
      </c>
      <c r="J8" s="241"/>
    </row>
    <row r="9" spans="2:10" ht="20.100000000000001" customHeight="1" thickTop="1" x14ac:dyDescent="0.3">
      <c r="B9" s="163">
        <v>1</v>
      </c>
      <c r="C9" s="139" t="s">
        <v>267</v>
      </c>
      <c r="D9" s="94">
        <v>643229</v>
      </c>
      <c r="E9" s="94">
        <v>8791960</v>
      </c>
      <c r="F9" s="242">
        <v>556392</v>
      </c>
      <c r="G9" s="242"/>
      <c r="H9" s="94">
        <v>556392</v>
      </c>
      <c r="I9" s="96" t="s">
        <v>139</v>
      </c>
      <c r="J9" s="94">
        <v>8878797</v>
      </c>
    </row>
    <row r="10" spans="2:10" ht="20.100000000000001" customHeight="1" x14ac:dyDescent="0.3">
      <c r="B10" s="145">
        <v>2</v>
      </c>
      <c r="C10" s="164" t="s">
        <v>82</v>
      </c>
      <c r="D10" s="97" t="s">
        <v>139</v>
      </c>
      <c r="E10" s="98">
        <v>8597386</v>
      </c>
      <c r="F10" s="243">
        <v>8233</v>
      </c>
      <c r="G10" s="243"/>
      <c r="H10" s="98">
        <v>8233</v>
      </c>
      <c r="I10" s="97" t="s">
        <v>139</v>
      </c>
      <c r="J10" s="98">
        <v>8589153</v>
      </c>
    </row>
    <row r="11" spans="2:10" ht="20.100000000000001" customHeight="1" x14ac:dyDescent="0.3">
      <c r="B11" s="106" t="s">
        <v>28</v>
      </c>
      <c r="C11" s="120" t="s">
        <v>268</v>
      </c>
      <c r="D11" s="99" t="s">
        <v>139</v>
      </c>
      <c r="E11" s="99" t="s">
        <v>139</v>
      </c>
      <c r="F11" s="244" t="s">
        <v>139</v>
      </c>
      <c r="G11" s="244"/>
      <c r="H11" s="99" t="s">
        <v>139</v>
      </c>
      <c r="I11" s="99" t="s">
        <v>139</v>
      </c>
      <c r="J11" s="99" t="s">
        <v>139</v>
      </c>
    </row>
    <row r="12" spans="2:10" ht="20.100000000000001" customHeight="1" x14ac:dyDescent="0.3">
      <c r="B12" s="106" t="s">
        <v>83</v>
      </c>
      <c r="C12" s="110" t="s">
        <v>269</v>
      </c>
      <c r="D12" s="100" t="s">
        <v>139</v>
      </c>
      <c r="E12" s="101">
        <v>8597386</v>
      </c>
      <c r="F12" s="245">
        <v>8233</v>
      </c>
      <c r="G12" s="245"/>
      <c r="H12" s="101">
        <v>8233</v>
      </c>
      <c r="I12" s="100" t="s">
        <v>139</v>
      </c>
      <c r="J12" s="101">
        <v>8589153</v>
      </c>
    </row>
    <row r="13" spans="2:10" ht="20.100000000000001" customHeight="1" thickBot="1" x14ac:dyDescent="0.35">
      <c r="B13" s="148">
        <v>3</v>
      </c>
      <c r="C13" s="165" t="s">
        <v>270</v>
      </c>
      <c r="D13" s="102">
        <v>16516</v>
      </c>
      <c r="E13" s="102">
        <v>1149372</v>
      </c>
      <c r="F13" s="238">
        <v>21766</v>
      </c>
      <c r="G13" s="238"/>
      <c r="H13" s="102">
        <v>21766</v>
      </c>
      <c r="I13" s="103" t="s">
        <v>139</v>
      </c>
      <c r="J13" s="102">
        <v>1144122</v>
      </c>
    </row>
    <row r="14" spans="2:10" ht="20.100000000000001" customHeight="1" thickTop="1" thickBot="1" x14ac:dyDescent="0.35">
      <c r="B14" s="148">
        <v>4</v>
      </c>
      <c r="C14" s="148" t="s">
        <v>271</v>
      </c>
      <c r="D14" s="102">
        <v>659746</v>
      </c>
      <c r="E14" s="102">
        <v>18538718</v>
      </c>
      <c r="F14" s="239">
        <v>586391</v>
      </c>
      <c r="G14" s="239"/>
      <c r="H14" s="102">
        <v>586391</v>
      </c>
      <c r="I14" s="103" t="s">
        <v>139</v>
      </c>
      <c r="J14" s="102">
        <v>18612072</v>
      </c>
    </row>
    <row r="15" spans="2:10" ht="20.100000000000001" customHeight="1" thickTop="1" x14ac:dyDescent="0.3">
      <c r="B15" s="58"/>
      <c r="C15" s="63"/>
      <c r="D15" s="14"/>
      <c r="E15" s="64"/>
      <c r="F15" s="64"/>
      <c r="G15" s="64"/>
      <c r="H15" s="64"/>
      <c r="I15" s="64"/>
      <c r="J15" s="4"/>
    </row>
    <row r="16" spans="2:10" ht="20.100000000000001" customHeight="1" x14ac:dyDescent="0.3">
      <c r="B16" s="58"/>
      <c r="C16" s="63"/>
      <c r="D16" s="14"/>
      <c r="E16" s="64"/>
      <c r="F16" s="64"/>
      <c r="G16" s="64"/>
      <c r="H16" s="64"/>
      <c r="I16" s="64"/>
      <c r="J16" s="4"/>
    </row>
    <row r="17" spans="2:10" ht="20.100000000000001" customHeight="1" x14ac:dyDescent="0.3">
      <c r="B17" s="58"/>
      <c r="C17" s="63"/>
      <c r="D17" s="14"/>
      <c r="E17" s="64"/>
      <c r="F17" s="64"/>
      <c r="G17" s="64"/>
      <c r="H17" s="64"/>
      <c r="I17" s="64"/>
      <c r="J17" s="4"/>
    </row>
    <row r="18" spans="2:10" ht="20.100000000000001" customHeight="1" x14ac:dyDescent="0.3">
      <c r="B18" s="58"/>
      <c r="C18" s="63"/>
      <c r="D18" s="14"/>
      <c r="E18" s="64"/>
      <c r="F18" s="64"/>
      <c r="G18" s="64"/>
      <c r="H18" s="64"/>
      <c r="I18" s="64"/>
      <c r="J18" s="4"/>
    </row>
    <row r="19" spans="2:10" ht="20.100000000000001" customHeight="1" x14ac:dyDescent="0.3">
      <c r="B19" s="58"/>
      <c r="C19" s="63"/>
      <c r="D19" s="14"/>
      <c r="E19" s="64"/>
      <c r="F19" s="64"/>
      <c r="G19" s="64"/>
      <c r="H19" s="64"/>
      <c r="I19" s="64"/>
      <c r="J19" s="4"/>
    </row>
    <row r="20" spans="2:10" ht="20.100000000000001" customHeight="1" x14ac:dyDescent="0.3">
      <c r="B20" s="58"/>
      <c r="C20" s="63"/>
      <c r="D20" s="14"/>
      <c r="E20" s="64"/>
      <c r="F20" s="64"/>
      <c r="G20" s="64"/>
      <c r="H20" s="64"/>
      <c r="I20" s="64"/>
      <c r="J20" s="4"/>
    </row>
    <row r="21" spans="2:10" ht="20.100000000000001" customHeight="1" x14ac:dyDescent="0.3">
      <c r="B21" s="58"/>
      <c r="C21" s="63"/>
      <c r="D21" s="14"/>
      <c r="E21" s="64"/>
      <c r="F21" s="64"/>
      <c r="G21" s="64"/>
      <c r="H21" s="64"/>
      <c r="I21" s="64"/>
      <c r="J21" s="4"/>
    </row>
    <row r="22" spans="2:10" ht="20.100000000000001" customHeight="1" x14ac:dyDescent="0.3">
      <c r="B22" s="58"/>
      <c r="C22" s="63"/>
      <c r="D22" s="14"/>
      <c r="E22" s="64"/>
      <c r="F22" s="64"/>
      <c r="G22" s="64"/>
      <c r="H22" s="64"/>
      <c r="I22" s="64"/>
      <c r="J22" s="4"/>
    </row>
    <row r="23" spans="2:10" ht="20.100000000000001" customHeight="1" x14ac:dyDescent="0.3">
      <c r="B23" s="58"/>
      <c r="C23" s="63"/>
      <c r="D23" s="14"/>
      <c r="E23" s="64"/>
      <c r="F23" s="64"/>
      <c r="G23" s="64"/>
      <c r="H23" s="64"/>
      <c r="I23" s="64"/>
      <c r="J23" s="4"/>
    </row>
    <row r="24" spans="2:10" ht="20.100000000000001" customHeight="1" x14ac:dyDescent="0.3">
      <c r="B24" s="58"/>
      <c r="C24" s="63"/>
      <c r="D24" s="14"/>
      <c r="E24" s="64"/>
      <c r="F24" s="64"/>
      <c r="G24" s="64"/>
      <c r="H24" s="64"/>
      <c r="I24" s="64"/>
      <c r="J24" s="4"/>
    </row>
    <row r="25" spans="2:10" ht="20.100000000000001" customHeight="1" x14ac:dyDescent="0.3">
      <c r="B25" s="58"/>
      <c r="C25" s="63"/>
      <c r="D25" s="14"/>
      <c r="E25" s="64"/>
      <c r="F25" s="64"/>
      <c r="G25" s="64"/>
      <c r="H25" s="64"/>
      <c r="I25" s="64"/>
      <c r="J25" s="4"/>
    </row>
    <row r="26" spans="2:10" ht="20.100000000000001" customHeight="1" x14ac:dyDescent="0.3">
      <c r="B26" s="58"/>
      <c r="C26" s="63"/>
      <c r="D26" s="14"/>
      <c r="E26" s="64"/>
      <c r="F26" s="64"/>
      <c r="G26" s="64"/>
      <c r="H26" s="64"/>
      <c r="I26" s="64"/>
      <c r="J26" s="4"/>
    </row>
    <row r="27" spans="2:10" ht="20.100000000000001" customHeight="1" x14ac:dyDescent="0.3">
      <c r="B27" s="59"/>
      <c r="C27" s="6"/>
      <c r="D27" s="14"/>
      <c r="E27" s="14"/>
      <c r="F27" s="14"/>
      <c r="G27" s="64"/>
      <c r="H27" s="64"/>
      <c r="I27" s="64"/>
      <c r="J27" s="4"/>
    </row>
    <row r="28" spans="2:10" ht="20.100000000000001" customHeight="1" x14ac:dyDescent="0.3">
      <c r="B28" s="59"/>
      <c r="C28" s="6"/>
      <c r="D28" s="14"/>
      <c r="E28" s="14"/>
      <c r="F28" s="14"/>
      <c r="G28" s="14"/>
      <c r="H28" s="64"/>
      <c r="I28" s="64"/>
      <c r="J28" s="4"/>
    </row>
    <row r="29" spans="2:10" ht="20.100000000000001" customHeight="1" x14ac:dyDescent="0.3">
      <c r="B29" s="57"/>
      <c r="C29" s="63"/>
      <c r="D29" s="64"/>
      <c r="E29" s="64"/>
      <c r="F29" s="64"/>
      <c r="G29" s="64"/>
      <c r="H29" s="64"/>
      <c r="I29" s="64"/>
      <c r="J29" s="4"/>
    </row>
    <row r="30" spans="2:10" ht="20.100000000000001" customHeight="1" x14ac:dyDescent="0.3">
      <c r="B30" s="57"/>
      <c r="C30" s="63"/>
      <c r="D30" s="64"/>
      <c r="E30" s="64"/>
      <c r="F30" s="64"/>
      <c r="G30" s="64"/>
      <c r="H30" s="64"/>
      <c r="I30" s="64"/>
      <c r="J30" s="4"/>
    </row>
    <row r="31" spans="2:10" ht="20.100000000000001" customHeight="1" x14ac:dyDescent="0.3">
      <c r="B31" s="57"/>
      <c r="C31" s="63"/>
      <c r="D31" s="64"/>
      <c r="E31" s="64"/>
      <c r="F31" s="64"/>
      <c r="G31" s="64"/>
      <c r="H31" s="64"/>
      <c r="I31" s="64"/>
      <c r="J31" s="4"/>
    </row>
    <row r="32" spans="2:10" ht="20.100000000000001" customHeight="1" x14ac:dyDescent="0.3">
      <c r="B32" s="57"/>
      <c r="C32" s="63"/>
      <c r="D32" s="64"/>
      <c r="E32" s="64"/>
      <c r="F32" s="64"/>
      <c r="G32" s="64"/>
      <c r="H32" s="64"/>
      <c r="I32" s="64"/>
      <c r="J32" s="4"/>
    </row>
    <row r="33" spans="2:10" ht="20.100000000000001" customHeight="1" x14ac:dyDescent="0.3">
      <c r="B33" s="57"/>
      <c r="C33" s="63"/>
      <c r="D33" s="64"/>
      <c r="E33" s="64"/>
      <c r="F33" s="64"/>
      <c r="G33" s="64"/>
      <c r="H33" s="64"/>
      <c r="I33" s="64"/>
      <c r="J33" s="4"/>
    </row>
    <row r="34" spans="2:10" ht="20.100000000000001" customHeight="1" x14ac:dyDescent="0.3">
      <c r="B34" s="57"/>
      <c r="C34" s="63"/>
      <c r="D34" s="64"/>
      <c r="E34" s="64"/>
      <c r="F34" s="64"/>
      <c r="G34" s="64"/>
      <c r="H34" s="64"/>
      <c r="I34" s="64"/>
      <c r="J34" s="4"/>
    </row>
    <row r="35" spans="2:10" ht="20.100000000000001" customHeight="1" x14ac:dyDescent="0.3">
      <c r="B35" s="57"/>
      <c r="C35" s="63"/>
      <c r="D35" s="64"/>
      <c r="E35" s="64"/>
      <c r="F35" s="64"/>
      <c r="G35" s="64"/>
      <c r="H35" s="64"/>
      <c r="I35" s="64"/>
      <c r="J35" s="4"/>
    </row>
  </sheetData>
  <mergeCells count="16">
    <mergeCell ref="D4:J4"/>
    <mergeCell ref="F5:G5"/>
    <mergeCell ref="D6:E6"/>
    <mergeCell ref="G6:H6"/>
    <mergeCell ref="B7:C8"/>
    <mergeCell ref="D7:D8"/>
    <mergeCell ref="E7:E8"/>
    <mergeCell ref="F7:G8"/>
    <mergeCell ref="H7:H8"/>
    <mergeCell ref="F13:G13"/>
    <mergeCell ref="F14:G14"/>
    <mergeCell ref="J7:J8"/>
    <mergeCell ref="F9:G9"/>
    <mergeCell ref="F10:G10"/>
    <mergeCell ref="F11:G11"/>
    <mergeCell ref="F12:G1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4" orientation="landscape" r:id="rId1"/>
  <headerFooter>
    <oddHeader>&amp;L&amp;"Aptos"&amp;10&amp;K000000 ## Restrito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435-B5A8-4F30-AA0D-440C3E680B2B}">
  <sheetPr>
    <pageSetUpPr fitToPage="1"/>
  </sheetPr>
  <dimension ref="A1:F71"/>
  <sheetViews>
    <sheetView showGridLines="0" zoomScale="93" zoomScaleNormal="93" workbookViewId="0">
      <selection activeCell="C5" sqref="C5"/>
    </sheetView>
  </sheetViews>
  <sheetFormatPr defaultColWidth="0" defaultRowHeight="0" customHeight="1" zeroHeight="1" x14ac:dyDescent="0.3"/>
  <cols>
    <col min="1" max="1" width="1.6640625" style="7" customWidth="1"/>
    <col min="2" max="2" width="5.6640625" style="16" customWidth="1"/>
    <col min="3" max="3" width="89.109375" style="17" customWidth="1"/>
    <col min="4" max="4" width="17.6640625" style="7" customWidth="1"/>
    <col min="5" max="5" width="17.6640625" style="7" hidden="1" customWidth="1"/>
    <col min="6" max="6" width="1.6640625" style="7" customWidth="1"/>
    <col min="7" max="16384" width="9.109375" style="7" hidden="1"/>
  </cols>
  <sheetData>
    <row r="1" spans="1:6" ht="15" x14ac:dyDescent="0.3">
      <c r="A1" s="8"/>
      <c r="B1" s="5"/>
      <c r="C1" s="6"/>
      <c r="D1" s="10"/>
      <c r="E1" s="10"/>
      <c r="F1" s="8"/>
    </row>
    <row r="2" spans="1:6" ht="15" x14ac:dyDescent="0.3">
      <c r="A2" s="4"/>
      <c r="B2" s="5"/>
      <c r="C2" s="6"/>
      <c r="D2" s="11"/>
      <c r="E2" s="11"/>
      <c r="F2" s="4"/>
    </row>
    <row r="3" spans="1:6" ht="18" customHeight="1" x14ac:dyDescent="0.3">
      <c r="A3" s="4"/>
      <c r="B3" s="9"/>
      <c r="C3" s="9"/>
      <c r="D3" s="12"/>
      <c r="E3" s="12"/>
      <c r="F3" s="4"/>
    </row>
    <row r="4" spans="1:6" ht="18" customHeight="1" x14ac:dyDescent="0.3">
      <c r="A4" s="4"/>
      <c r="B4" s="9"/>
      <c r="C4" s="9"/>
      <c r="D4" s="12"/>
      <c r="E4" s="12"/>
      <c r="F4" s="4"/>
    </row>
    <row r="5" spans="1:6" ht="18" customHeight="1" x14ac:dyDescent="0.25">
      <c r="A5" s="4"/>
      <c r="B5" s="114"/>
      <c r="C5" s="114"/>
      <c r="D5" s="170">
        <v>45992</v>
      </c>
      <c r="E5" s="12"/>
      <c r="F5" s="4"/>
    </row>
    <row r="6" spans="1:6" ht="18" customHeight="1" x14ac:dyDescent="0.25">
      <c r="A6" s="4"/>
      <c r="B6" s="115"/>
      <c r="C6" s="134"/>
      <c r="D6" s="171" t="s">
        <v>272</v>
      </c>
      <c r="E6" s="12"/>
      <c r="F6" s="4"/>
    </row>
    <row r="7" spans="1:6" ht="18" customHeight="1" x14ac:dyDescent="0.3">
      <c r="A7" s="4"/>
      <c r="B7" s="214" t="s">
        <v>222</v>
      </c>
      <c r="C7" s="214"/>
      <c r="D7" s="145" t="s">
        <v>74</v>
      </c>
      <c r="E7" s="12"/>
      <c r="F7" s="4"/>
    </row>
    <row r="8" spans="1:6" ht="18" customHeight="1" thickBot="1" x14ac:dyDescent="0.35">
      <c r="A8" s="4"/>
      <c r="B8" s="115"/>
      <c r="C8" s="137"/>
      <c r="D8" s="172"/>
      <c r="E8" s="12"/>
      <c r="F8" s="4"/>
    </row>
    <row r="9" spans="1:6" ht="18" customHeight="1" thickTop="1" x14ac:dyDescent="0.3">
      <c r="A9" s="4"/>
      <c r="B9" s="173">
        <v>1</v>
      </c>
      <c r="C9" s="174" t="s">
        <v>85</v>
      </c>
      <c r="D9" s="175">
        <v>654509</v>
      </c>
      <c r="E9" s="12"/>
      <c r="F9" s="4"/>
    </row>
    <row r="10" spans="1:6" ht="18" customHeight="1" x14ac:dyDescent="0.3">
      <c r="A10" s="4"/>
      <c r="B10" s="106">
        <v>2</v>
      </c>
      <c r="C10" s="110" t="s">
        <v>86</v>
      </c>
      <c r="D10" s="176">
        <v>46421</v>
      </c>
      <c r="E10" s="12"/>
      <c r="F10" s="4"/>
    </row>
    <row r="11" spans="1:6" ht="18" customHeight="1" x14ac:dyDescent="0.3">
      <c r="A11" s="4"/>
      <c r="B11" s="106">
        <v>3</v>
      </c>
      <c r="C11" s="110" t="s">
        <v>87</v>
      </c>
      <c r="D11" s="176">
        <v>-3710</v>
      </c>
      <c r="E11" s="12"/>
      <c r="F11" s="4"/>
    </row>
    <row r="12" spans="1:6" ht="18" customHeight="1" x14ac:dyDescent="0.3">
      <c r="A12" s="4"/>
      <c r="B12" s="106">
        <v>4</v>
      </c>
      <c r="C12" s="110" t="s">
        <v>88</v>
      </c>
      <c r="D12" s="176">
        <v>-21007</v>
      </c>
      <c r="E12" s="12"/>
      <c r="F12" s="4"/>
    </row>
    <row r="13" spans="1:6" ht="18" customHeight="1" thickBot="1" x14ac:dyDescent="0.35">
      <c r="A13" s="4"/>
      <c r="B13" s="129">
        <v>5</v>
      </c>
      <c r="C13" s="127" t="s">
        <v>89</v>
      </c>
      <c r="D13" s="177">
        <v>-32984</v>
      </c>
      <c r="E13" s="12"/>
      <c r="F13" s="4"/>
    </row>
    <row r="14" spans="1:6" ht="18" customHeight="1" thickTop="1" thickBot="1" x14ac:dyDescent="0.35">
      <c r="A14" s="4"/>
      <c r="B14" s="148">
        <v>6</v>
      </c>
      <c r="C14" s="178" t="s">
        <v>273</v>
      </c>
      <c r="D14" s="102">
        <v>643229</v>
      </c>
      <c r="E14" s="12"/>
      <c r="F14" s="4"/>
    </row>
    <row r="15" spans="1:6" ht="18" customHeight="1" thickTop="1" x14ac:dyDescent="0.3">
      <c r="A15" s="4"/>
      <c r="B15" s="9"/>
      <c r="C15" s="9"/>
      <c r="D15" s="12"/>
      <c r="E15" s="12"/>
      <c r="F15" s="4"/>
    </row>
    <row r="16" spans="1:6" ht="18" customHeight="1" x14ac:dyDescent="0.3">
      <c r="A16" s="4"/>
      <c r="B16" s="9"/>
      <c r="C16" s="9"/>
      <c r="D16" s="12"/>
      <c r="E16" s="12"/>
      <c r="F16" s="4"/>
    </row>
    <row r="17" spans="1:6" ht="18" customHeight="1" x14ac:dyDescent="0.3">
      <c r="A17" s="4"/>
      <c r="B17" s="9"/>
      <c r="C17" s="9"/>
      <c r="D17" s="12"/>
      <c r="E17" s="12"/>
      <c r="F17" s="4"/>
    </row>
    <row r="18" spans="1:6" ht="18" customHeight="1" x14ac:dyDescent="0.3">
      <c r="A18" s="4"/>
      <c r="B18" s="9"/>
      <c r="C18" s="9"/>
      <c r="D18" s="12"/>
      <c r="E18" s="12"/>
      <c r="F18" s="4"/>
    </row>
    <row r="19" spans="1:6" ht="18" customHeight="1" x14ac:dyDescent="0.3">
      <c r="A19" s="4"/>
      <c r="B19" s="9"/>
      <c r="C19" s="9"/>
      <c r="D19" s="12"/>
      <c r="E19" s="12"/>
      <c r="F19" s="4"/>
    </row>
    <row r="20" spans="1:6" ht="18" customHeight="1" x14ac:dyDescent="0.3">
      <c r="A20" s="4"/>
      <c r="B20" s="9"/>
      <c r="C20" s="9"/>
      <c r="D20" s="12"/>
      <c r="E20" s="12"/>
      <c r="F20" s="4"/>
    </row>
    <row r="21" spans="1:6" ht="18" customHeight="1" x14ac:dyDescent="0.3">
      <c r="A21" s="4"/>
      <c r="B21" s="9"/>
      <c r="C21" s="9"/>
      <c r="D21" s="12"/>
      <c r="E21" s="12"/>
      <c r="F21" s="4"/>
    </row>
    <row r="22" spans="1:6" ht="18" customHeight="1" x14ac:dyDescent="0.3">
      <c r="A22" s="4"/>
      <c r="B22" s="9"/>
      <c r="C22" s="9"/>
      <c r="D22" s="12"/>
      <c r="E22" s="12"/>
      <c r="F22" s="4"/>
    </row>
    <row r="23" spans="1:6" ht="18" customHeight="1" x14ac:dyDescent="0.3">
      <c r="A23" s="4"/>
      <c r="B23" s="9"/>
      <c r="C23" s="9"/>
      <c r="D23" s="12"/>
      <c r="E23" s="12"/>
      <c r="F23" s="4"/>
    </row>
    <row r="24" spans="1:6" ht="18" customHeight="1" x14ac:dyDescent="0.3">
      <c r="A24" s="4"/>
      <c r="B24" s="9"/>
      <c r="C24" s="9"/>
      <c r="D24" s="12"/>
      <c r="E24" s="12"/>
      <c r="F24" s="4"/>
    </row>
    <row r="25" spans="1:6" ht="18" customHeight="1" x14ac:dyDescent="0.3">
      <c r="A25" s="4"/>
      <c r="B25" s="9"/>
      <c r="C25" s="9"/>
      <c r="D25" s="12"/>
      <c r="E25" s="12"/>
      <c r="F25" s="4"/>
    </row>
    <row r="26" spans="1:6" ht="18" customHeight="1" x14ac:dyDescent="0.3">
      <c r="A26" s="4"/>
      <c r="B26" s="9"/>
      <c r="C26" s="9"/>
      <c r="D26" s="12"/>
      <c r="E26" s="12"/>
      <c r="F26" s="4"/>
    </row>
    <row r="27" spans="1:6" ht="18" customHeight="1" x14ac:dyDescent="0.3">
      <c r="A27" s="4"/>
      <c r="B27" s="9"/>
      <c r="C27" s="9"/>
      <c r="D27" s="12"/>
      <c r="E27" s="12"/>
      <c r="F27" s="4"/>
    </row>
    <row r="28" spans="1:6" ht="18" customHeight="1" x14ac:dyDescent="0.3">
      <c r="A28" s="4"/>
      <c r="B28" s="9"/>
      <c r="C28" s="9"/>
      <c r="D28" s="12"/>
      <c r="E28" s="12"/>
      <c r="F28" s="4"/>
    </row>
    <row r="29" spans="1:6" ht="27.75" customHeight="1" x14ac:dyDescent="0.3">
      <c r="B29" s="167"/>
      <c r="C29" s="168"/>
      <c r="D29" s="169"/>
      <c r="E29" s="169"/>
    </row>
    <row r="30" spans="1:6" ht="27.75" customHeight="1" x14ac:dyDescent="0.3">
      <c r="B30" s="167"/>
      <c r="C30" s="168"/>
      <c r="D30" s="169"/>
      <c r="E30" s="169"/>
    </row>
    <row r="31" spans="1:6" ht="27.75" customHeight="1" x14ac:dyDescent="0.3">
      <c r="B31" s="167"/>
      <c r="C31" s="168"/>
      <c r="D31" s="169"/>
      <c r="E31" s="169"/>
    </row>
    <row r="32" spans="1:6" ht="27.75" customHeight="1" x14ac:dyDescent="0.3">
      <c r="B32" s="167"/>
      <c r="C32" s="168"/>
      <c r="D32" s="169"/>
      <c r="E32" s="169"/>
    </row>
    <row r="33" spans="2:5" ht="27.75" customHeight="1" x14ac:dyDescent="0.3">
      <c r="B33" s="167"/>
      <c r="C33" s="168"/>
      <c r="D33" s="169"/>
      <c r="E33" s="169"/>
    </row>
    <row r="34" spans="2:5" ht="15" hidden="1" x14ac:dyDescent="0.3"/>
    <row r="35" spans="2:5" ht="15" hidden="1" x14ac:dyDescent="0.3"/>
    <row r="36" spans="2:5" ht="15" hidden="1" x14ac:dyDescent="0.3"/>
    <row r="37" spans="2:5" ht="15" hidden="1" x14ac:dyDescent="0.3"/>
    <row r="38" spans="2:5" ht="15" hidden="1" x14ac:dyDescent="0.3"/>
    <row r="39" spans="2:5" ht="15" hidden="1" x14ac:dyDescent="0.3"/>
    <row r="40" spans="2:5" ht="15" hidden="1" x14ac:dyDescent="0.3"/>
    <row r="41" spans="2:5" ht="15" hidden="1" x14ac:dyDescent="0.3"/>
    <row r="42" spans="2:5" ht="15" hidden="1" x14ac:dyDescent="0.3">
      <c r="B42" s="7"/>
      <c r="C42" s="7"/>
    </row>
    <row r="43" spans="2:5" ht="15" hidden="1" x14ac:dyDescent="0.3">
      <c r="B43" s="7"/>
      <c r="C43" s="7"/>
    </row>
    <row r="44" spans="2:5" ht="15" hidden="1" x14ac:dyDescent="0.3">
      <c r="B44" s="7"/>
      <c r="C44" s="7"/>
    </row>
    <row r="45" spans="2:5" ht="15" hidden="1" x14ac:dyDescent="0.3">
      <c r="B45" s="7"/>
      <c r="C45" s="7"/>
    </row>
    <row r="46" spans="2:5" ht="15" hidden="1" x14ac:dyDescent="0.3">
      <c r="B46" s="7"/>
      <c r="C46" s="7"/>
    </row>
    <row r="47" spans="2:5" ht="15" hidden="1" x14ac:dyDescent="0.3">
      <c r="B47" s="7"/>
      <c r="C47" s="7"/>
    </row>
    <row r="48" spans="2:5" ht="15" hidden="1" x14ac:dyDescent="0.3">
      <c r="B48" s="7"/>
      <c r="C48" s="7"/>
    </row>
    <row r="49" s="7" customFormat="1" ht="15" hidden="1" x14ac:dyDescent="0.3"/>
    <row r="50" s="7" customFormat="1" ht="15" hidden="1" x14ac:dyDescent="0.3"/>
    <row r="51" s="7" customFormat="1" ht="15" hidden="1" x14ac:dyDescent="0.3"/>
    <row r="52" s="7" customFormat="1" ht="15" hidden="1" x14ac:dyDescent="0.3"/>
    <row r="53" s="7" customFormat="1" ht="15" hidden="1" x14ac:dyDescent="0.3"/>
    <row r="54" s="7" customFormat="1" ht="15" hidden="1" x14ac:dyDescent="0.3"/>
    <row r="55" s="7" customFormat="1" ht="15" hidden="1" x14ac:dyDescent="0.3"/>
    <row r="56" s="7" customFormat="1" ht="15" hidden="1" x14ac:dyDescent="0.3"/>
    <row r="57" s="7" customFormat="1" ht="15" hidden="1" x14ac:dyDescent="0.3"/>
    <row r="66" s="7" customFormat="1" ht="0" hidden="1" customHeight="1" x14ac:dyDescent="0.3"/>
    <row r="67" s="7" customFormat="1" ht="0" hidden="1" customHeight="1" x14ac:dyDescent="0.3"/>
    <row r="68" s="7" customFormat="1" ht="0" hidden="1" customHeight="1" x14ac:dyDescent="0.3"/>
    <row r="69" s="7" customFormat="1" ht="0" hidden="1" customHeight="1" x14ac:dyDescent="0.3"/>
    <row r="70" s="7" customFormat="1" ht="0" hidden="1" customHeight="1" x14ac:dyDescent="0.3"/>
    <row r="71" s="7" customFormat="1" ht="0" hidden="1" customHeight="1" x14ac:dyDescent="0.3"/>
  </sheetData>
  <mergeCells count="1">
    <mergeCell ref="B7:C7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&amp;L&amp;"Aptos"&amp;10&amp;K000000 ## Restrito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434B-5D6A-433D-A8DE-6CE397BC0DD1}">
  <sheetPr>
    <pageSetUpPr fitToPage="1"/>
  </sheetPr>
  <dimension ref="A1:K156"/>
  <sheetViews>
    <sheetView showGridLines="0" topLeftCell="A100" zoomScale="93" zoomScaleNormal="93" workbookViewId="0">
      <selection activeCell="E113" sqref="E113"/>
    </sheetView>
  </sheetViews>
  <sheetFormatPr defaultColWidth="0" defaultRowHeight="0" customHeight="1" zeroHeight="1" x14ac:dyDescent="0.3"/>
  <cols>
    <col min="1" max="1" width="1.6640625" style="7" customWidth="1"/>
    <col min="2" max="2" width="5.6640625" style="16" customWidth="1"/>
    <col min="3" max="3" width="67.6640625" style="16" customWidth="1"/>
    <col min="4" max="4" width="19.6640625" style="16" customWidth="1"/>
    <col min="5" max="5" width="18.109375" style="16" customWidth="1"/>
    <col min="6" max="6" width="19.109375" style="16" customWidth="1"/>
    <col min="7" max="8" width="17.33203125" style="16" customWidth="1"/>
    <col min="9" max="9" width="14.6640625" style="16" customWidth="1"/>
    <col min="10" max="10" width="14.6640625" style="7" customWidth="1"/>
    <col min="11" max="11" width="1.6640625" style="7" customWidth="1"/>
    <col min="12" max="16384" width="9.109375" style="7" hidden="1"/>
  </cols>
  <sheetData>
    <row r="1" spans="1:11" ht="14.25" customHeight="1" x14ac:dyDescent="0.3">
      <c r="A1" s="4"/>
      <c r="B1" s="5"/>
      <c r="C1" s="5"/>
      <c r="D1" s="5"/>
      <c r="E1" s="5"/>
      <c r="F1" s="5"/>
      <c r="G1" s="5"/>
      <c r="H1" s="5"/>
      <c r="I1" s="5"/>
      <c r="J1" s="4"/>
      <c r="K1" s="4"/>
    </row>
    <row r="2" spans="1:11" ht="15" x14ac:dyDescent="0.3">
      <c r="A2" s="8"/>
      <c r="B2" s="5"/>
      <c r="C2" s="5"/>
      <c r="D2" s="5"/>
      <c r="E2" s="5"/>
      <c r="F2" s="5"/>
      <c r="G2" s="5"/>
      <c r="H2" s="5"/>
      <c r="I2" s="5"/>
      <c r="J2" s="8"/>
      <c r="K2" s="8"/>
    </row>
    <row r="3" spans="1:11" ht="19.5" customHeight="1" x14ac:dyDescent="0.3">
      <c r="A3" s="8"/>
      <c r="B3" s="70"/>
      <c r="C3" s="70"/>
      <c r="D3" s="5"/>
      <c r="E3" s="5"/>
      <c r="F3" s="5"/>
      <c r="G3" s="5"/>
      <c r="H3" s="5"/>
      <c r="I3" s="5"/>
      <c r="J3" s="8"/>
      <c r="K3" s="8"/>
    </row>
    <row r="4" spans="1:11" ht="15" x14ac:dyDescent="0.3">
      <c r="A4" s="8"/>
      <c r="B4" s="5"/>
      <c r="C4" s="5"/>
      <c r="D4" s="5"/>
      <c r="E4" s="5"/>
      <c r="F4" s="5"/>
      <c r="G4" s="5"/>
      <c r="H4" s="5"/>
      <c r="I4" s="75"/>
      <c r="J4" s="8"/>
      <c r="K4" s="8"/>
    </row>
    <row r="5" spans="1:11" ht="16.8" x14ac:dyDescent="0.3">
      <c r="A5" s="8"/>
      <c r="B5" s="71" t="s">
        <v>23</v>
      </c>
      <c r="C5" s="76" t="s">
        <v>90</v>
      </c>
      <c r="D5" s="5"/>
      <c r="E5" s="5"/>
      <c r="F5" s="5"/>
      <c r="G5" s="5"/>
      <c r="H5" s="5"/>
      <c r="I5" s="5"/>
      <c r="J5" s="12" t="s">
        <v>222</v>
      </c>
      <c r="K5" s="8"/>
    </row>
    <row r="6" spans="1:11" ht="18" customHeight="1" thickBot="1" x14ac:dyDescent="0.35">
      <c r="A6" s="8"/>
      <c r="B6" s="5"/>
      <c r="C6" s="115"/>
      <c r="D6" s="256" t="s">
        <v>91</v>
      </c>
      <c r="E6" s="256"/>
      <c r="F6" s="256"/>
      <c r="G6" s="256"/>
      <c r="H6" s="256"/>
      <c r="I6" s="256"/>
      <c r="J6" s="256"/>
      <c r="K6" s="8"/>
    </row>
    <row r="7" spans="1:11" ht="28.5" customHeight="1" thickTop="1" thickBot="1" x14ac:dyDescent="0.35">
      <c r="A7" s="8"/>
      <c r="B7" s="5"/>
      <c r="C7" s="110" t="s">
        <v>222</v>
      </c>
      <c r="D7" s="179" t="s">
        <v>92</v>
      </c>
      <c r="E7" s="179" t="s">
        <v>93</v>
      </c>
      <c r="F7" s="179" t="s">
        <v>94</v>
      </c>
      <c r="G7" s="179" t="s">
        <v>95</v>
      </c>
      <c r="H7" s="179" t="s">
        <v>96</v>
      </c>
      <c r="I7" s="162" t="s">
        <v>274</v>
      </c>
      <c r="J7" s="163" t="s">
        <v>74</v>
      </c>
      <c r="K7" s="8"/>
    </row>
    <row r="8" spans="1:11" ht="15" customHeight="1" thickTop="1" x14ac:dyDescent="0.3">
      <c r="A8" s="8"/>
      <c r="B8" s="5"/>
      <c r="C8" s="174" t="s">
        <v>81</v>
      </c>
      <c r="D8" s="95">
        <v>2685</v>
      </c>
      <c r="E8" s="173" t="s">
        <v>139</v>
      </c>
      <c r="F8" s="173" t="s">
        <v>139</v>
      </c>
      <c r="G8" s="95">
        <v>9432505</v>
      </c>
      <c r="H8" s="173" t="s">
        <v>139</v>
      </c>
      <c r="I8" s="173" t="s">
        <v>275</v>
      </c>
      <c r="J8" s="104">
        <v>9435189</v>
      </c>
      <c r="K8" s="8"/>
    </row>
    <row r="9" spans="1:11" ht="15" customHeight="1" x14ac:dyDescent="0.3">
      <c r="A9" s="8"/>
      <c r="B9" s="5"/>
      <c r="C9" s="110" t="s">
        <v>82</v>
      </c>
      <c r="D9" s="106" t="s">
        <v>139</v>
      </c>
      <c r="E9" s="106" t="s">
        <v>139</v>
      </c>
      <c r="F9" s="106" t="s">
        <v>139</v>
      </c>
      <c r="G9" s="106" t="s">
        <v>139</v>
      </c>
      <c r="H9" s="106" t="s">
        <v>139</v>
      </c>
      <c r="I9" s="105">
        <v>8597386</v>
      </c>
      <c r="J9" s="107">
        <v>8597386</v>
      </c>
      <c r="K9" s="8"/>
    </row>
    <row r="10" spans="1:11" ht="15" customHeight="1" thickBot="1" x14ac:dyDescent="0.35">
      <c r="A10" s="8"/>
      <c r="B10" s="5"/>
      <c r="C10" s="180" t="s">
        <v>84</v>
      </c>
      <c r="D10" s="129" t="s">
        <v>276</v>
      </c>
      <c r="E10" s="129" t="s">
        <v>275</v>
      </c>
      <c r="F10" s="129" t="s">
        <v>275</v>
      </c>
      <c r="G10" s="181" t="s">
        <v>277</v>
      </c>
      <c r="H10" s="181" t="s">
        <v>278</v>
      </c>
      <c r="I10" s="129" t="s">
        <v>275</v>
      </c>
      <c r="J10" s="109">
        <v>1165888</v>
      </c>
      <c r="K10" s="8"/>
    </row>
    <row r="11" spans="1:11" ht="19.5" customHeight="1" thickTop="1" x14ac:dyDescent="0.3">
      <c r="A11" s="8"/>
      <c r="B11" s="5"/>
      <c r="C11" s="116" t="s">
        <v>90</v>
      </c>
      <c r="D11" s="107">
        <v>4290</v>
      </c>
      <c r="E11" s="179" t="s">
        <v>139</v>
      </c>
      <c r="F11" s="179" t="s">
        <v>139</v>
      </c>
      <c r="G11" s="107">
        <v>10596788</v>
      </c>
      <c r="H11" s="179" t="s">
        <v>139</v>
      </c>
      <c r="I11" s="107">
        <v>8597386</v>
      </c>
      <c r="J11" s="107">
        <v>19198463</v>
      </c>
      <c r="K11" s="8"/>
    </row>
    <row r="12" spans="1:11" ht="15" x14ac:dyDescent="0.3">
      <c r="A12" s="8"/>
      <c r="B12" s="5"/>
      <c r="C12" s="115"/>
      <c r="D12" s="137"/>
      <c r="E12" s="137"/>
      <c r="F12" s="137"/>
      <c r="G12" s="137"/>
      <c r="H12" s="137"/>
      <c r="I12" s="137"/>
      <c r="J12" s="137"/>
      <c r="K12" s="8"/>
    </row>
    <row r="13" spans="1:11" ht="15" x14ac:dyDescent="0.3">
      <c r="A13" s="8"/>
      <c r="B13" s="5"/>
      <c r="C13" s="115"/>
      <c r="D13" s="137"/>
      <c r="E13" s="137"/>
      <c r="F13" s="137"/>
      <c r="G13" s="137"/>
      <c r="H13" s="137"/>
      <c r="I13" s="137"/>
      <c r="J13" s="137"/>
      <c r="K13" s="8"/>
    </row>
    <row r="14" spans="1:11" ht="15" x14ac:dyDescent="0.3">
      <c r="A14" s="8"/>
      <c r="B14" s="5"/>
      <c r="C14" s="115"/>
      <c r="D14" s="137"/>
      <c r="E14" s="137"/>
      <c r="F14" s="137"/>
      <c r="G14" s="137"/>
      <c r="H14" s="137"/>
      <c r="I14" s="137"/>
      <c r="J14" s="137"/>
      <c r="K14" s="8"/>
    </row>
    <row r="15" spans="1:11" ht="15" x14ac:dyDescent="0.3">
      <c r="A15" s="8"/>
      <c r="B15" s="5"/>
      <c r="C15" s="56"/>
      <c r="D15" s="5"/>
      <c r="E15" s="5"/>
      <c r="F15" s="5"/>
      <c r="G15" s="5"/>
      <c r="H15" s="12"/>
      <c r="I15" s="5"/>
      <c r="J15" s="8"/>
      <c r="K15" s="8"/>
    </row>
    <row r="16" spans="1:11" ht="15.6" thickBot="1" x14ac:dyDescent="0.35">
      <c r="A16" s="8"/>
      <c r="B16" s="5"/>
      <c r="C16" s="115"/>
      <c r="D16" s="256" t="s">
        <v>97</v>
      </c>
      <c r="E16" s="256"/>
      <c r="F16" s="256"/>
      <c r="G16" s="256"/>
      <c r="H16" s="256"/>
      <c r="I16" s="5"/>
      <c r="J16" s="8"/>
      <c r="K16" s="8"/>
    </row>
    <row r="17" spans="1:11" ht="15.6" thickTop="1" x14ac:dyDescent="0.3">
      <c r="A17" s="8"/>
      <c r="B17" s="5"/>
      <c r="C17" s="258" t="s">
        <v>222</v>
      </c>
      <c r="D17" s="250" t="s">
        <v>98</v>
      </c>
      <c r="E17" s="250" t="s">
        <v>99</v>
      </c>
      <c r="F17" s="158" t="s">
        <v>279</v>
      </c>
      <c r="G17" s="250" t="s">
        <v>100</v>
      </c>
      <c r="H17" s="250" t="s">
        <v>74</v>
      </c>
      <c r="I17" s="5"/>
      <c r="J17" s="8"/>
      <c r="K17" s="8"/>
    </row>
    <row r="18" spans="1:11" ht="15" customHeight="1" thickBot="1" x14ac:dyDescent="0.35">
      <c r="A18" s="8"/>
      <c r="B18" s="5"/>
      <c r="C18" s="259"/>
      <c r="D18" s="251"/>
      <c r="E18" s="251"/>
      <c r="F18" s="158" t="s">
        <v>280</v>
      </c>
      <c r="G18" s="251"/>
      <c r="H18" s="251"/>
      <c r="I18" s="75"/>
      <c r="J18" s="8"/>
      <c r="K18" s="8"/>
    </row>
    <row r="19" spans="1:11" ht="15" customHeight="1" thickTop="1" x14ac:dyDescent="0.3">
      <c r="A19" s="8"/>
      <c r="B19" s="5"/>
      <c r="C19" s="174" t="s">
        <v>81</v>
      </c>
      <c r="D19" s="95">
        <v>1661548</v>
      </c>
      <c r="E19" s="95">
        <v>1366350</v>
      </c>
      <c r="F19" s="95">
        <v>5367340</v>
      </c>
      <c r="G19" s="95">
        <v>1039951</v>
      </c>
      <c r="H19" s="104">
        <v>9435189</v>
      </c>
      <c r="I19" s="5"/>
      <c r="J19" s="8"/>
      <c r="K19" s="8"/>
    </row>
    <row r="20" spans="1:11" ht="15" customHeight="1" x14ac:dyDescent="0.3">
      <c r="A20" s="8"/>
      <c r="B20" s="5"/>
      <c r="C20" s="110" t="s">
        <v>82</v>
      </c>
      <c r="D20" s="105">
        <v>6493890</v>
      </c>
      <c r="E20" s="105">
        <v>1380700</v>
      </c>
      <c r="F20" s="105">
        <v>722795</v>
      </c>
      <c r="G20" s="106" t="s">
        <v>139</v>
      </c>
      <c r="H20" s="107">
        <v>8597386</v>
      </c>
      <c r="I20" s="75"/>
      <c r="J20" s="8"/>
      <c r="K20" s="8"/>
    </row>
    <row r="21" spans="1:11" ht="19.5" customHeight="1" thickBot="1" x14ac:dyDescent="0.35">
      <c r="A21" s="8"/>
      <c r="B21" s="5"/>
      <c r="C21" s="180" t="s">
        <v>84</v>
      </c>
      <c r="D21" s="108">
        <v>492177</v>
      </c>
      <c r="E21" s="108">
        <v>640834</v>
      </c>
      <c r="F21" s="108">
        <v>26831</v>
      </c>
      <c r="G21" s="108">
        <v>6046</v>
      </c>
      <c r="H21" s="109">
        <v>1165888</v>
      </c>
      <c r="I21" s="5"/>
      <c r="J21" s="8"/>
      <c r="K21" s="8"/>
    </row>
    <row r="22" spans="1:11" ht="19.5" customHeight="1" thickTop="1" x14ac:dyDescent="0.3">
      <c r="A22" s="8"/>
      <c r="B22" s="5"/>
      <c r="C22" s="116" t="s">
        <v>90</v>
      </c>
      <c r="D22" s="107">
        <v>8647615</v>
      </c>
      <c r="E22" s="107">
        <v>3387884</v>
      </c>
      <c r="F22" s="107">
        <v>6116966</v>
      </c>
      <c r="G22" s="107">
        <v>1045997</v>
      </c>
      <c r="H22" s="107">
        <v>19198463</v>
      </c>
      <c r="I22" s="5"/>
      <c r="J22" s="8"/>
      <c r="K22" s="8"/>
    </row>
    <row r="23" spans="1:11" ht="19.5" customHeight="1" x14ac:dyDescent="0.3">
      <c r="A23" s="8"/>
      <c r="B23" s="5"/>
      <c r="C23" s="116"/>
      <c r="D23" s="107"/>
      <c r="E23" s="107"/>
      <c r="F23" s="107"/>
      <c r="G23" s="107"/>
      <c r="H23" s="107"/>
      <c r="I23" s="5"/>
      <c r="J23" s="8"/>
      <c r="K23" s="8"/>
    </row>
    <row r="24" spans="1:11" ht="19.5" customHeight="1" x14ac:dyDescent="0.3">
      <c r="A24" s="8"/>
      <c r="B24" s="5"/>
      <c r="C24" s="116"/>
      <c r="D24" s="107"/>
      <c r="E24" s="107"/>
      <c r="F24" s="107"/>
      <c r="G24" s="107"/>
      <c r="H24" s="107"/>
      <c r="I24" s="5"/>
      <c r="J24" s="8"/>
      <c r="K24" s="8"/>
    </row>
    <row r="25" spans="1:11" ht="19.5" customHeight="1" thickBot="1" x14ac:dyDescent="0.35">
      <c r="A25" s="8"/>
      <c r="B25" s="5"/>
      <c r="C25" s="137"/>
      <c r="D25" s="251" t="s">
        <v>101</v>
      </c>
      <c r="E25" s="251"/>
      <c r="F25" s="107"/>
      <c r="G25" s="107"/>
      <c r="H25" s="107"/>
      <c r="I25" s="5"/>
      <c r="J25" s="8"/>
      <c r="K25" s="8"/>
    </row>
    <row r="26" spans="1:11" ht="19.5" customHeight="1" thickTop="1" thickBot="1" x14ac:dyDescent="0.35">
      <c r="A26" s="8"/>
      <c r="B26" s="5"/>
      <c r="C26" s="120" t="s">
        <v>222</v>
      </c>
      <c r="D26" s="158" t="s">
        <v>78</v>
      </c>
      <c r="E26" s="162" t="s">
        <v>77</v>
      </c>
      <c r="F26" s="107"/>
      <c r="G26" s="107"/>
      <c r="H26" s="107"/>
      <c r="I26" s="5"/>
      <c r="J26" s="8"/>
      <c r="K26" s="8"/>
    </row>
    <row r="27" spans="1:11" ht="19.5" customHeight="1" thickTop="1" x14ac:dyDescent="0.3">
      <c r="A27" s="8"/>
      <c r="B27" s="5"/>
      <c r="C27" s="139" t="s">
        <v>81</v>
      </c>
      <c r="D27" s="182">
        <v>8878798</v>
      </c>
      <c r="E27" s="182">
        <v>9435189</v>
      </c>
      <c r="F27" s="107"/>
      <c r="G27" s="107"/>
      <c r="H27" s="107"/>
      <c r="I27" s="5"/>
      <c r="J27" s="8"/>
      <c r="K27" s="8"/>
    </row>
    <row r="28" spans="1:11" ht="19.5" customHeight="1" thickBot="1" x14ac:dyDescent="0.35">
      <c r="A28" s="8"/>
      <c r="B28" s="5"/>
      <c r="C28" s="183" t="s">
        <v>281</v>
      </c>
      <c r="D28" s="184">
        <v>6522233</v>
      </c>
      <c r="E28" s="184">
        <v>6887299</v>
      </c>
      <c r="F28" s="107"/>
      <c r="G28" s="107"/>
      <c r="H28" s="107"/>
      <c r="I28" s="5"/>
      <c r="J28" s="8"/>
      <c r="K28" s="8"/>
    </row>
    <row r="29" spans="1:11" ht="19.5" customHeight="1" thickBot="1" x14ac:dyDescent="0.35">
      <c r="A29" s="8"/>
      <c r="B29" s="5"/>
      <c r="C29" s="183" t="s">
        <v>282</v>
      </c>
      <c r="D29" s="184">
        <v>998218</v>
      </c>
      <c r="E29" s="184">
        <v>1055201</v>
      </c>
      <c r="F29" s="107"/>
      <c r="G29" s="107"/>
      <c r="H29" s="107"/>
      <c r="I29" s="5"/>
      <c r="J29" s="8"/>
      <c r="K29" s="8"/>
    </row>
    <row r="30" spans="1:11" ht="19.5" customHeight="1" thickBot="1" x14ac:dyDescent="0.35">
      <c r="A30" s="8"/>
      <c r="B30" s="5"/>
      <c r="C30" s="183" t="s">
        <v>283</v>
      </c>
      <c r="D30" s="184">
        <v>523263</v>
      </c>
      <c r="E30" s="184">
        <v>553363</v>
      </c>
      <c r="F30" s="107"/>
      <c r="G30" s="107"/>
      <c r="H30" s="107"/>
      <c r="I30" s="5"/>
      <c r="J30" s="8"/>
      <c r="K30" s="8"/>
    </row>
    <row r="31" spans="1:11" ht="19.5" customHeight="1" thickBot="1" x14ac:dyDescent="0.35">
      <c r="A31" s="8"/>
      <c r="B31" s="5"/>
      <c r="C31" s="183" t="s">
        <v>284</v>
      </c>
      <c r="D31" s="184">
        <v>378581</v>
      </c>
      <c r="E31" s="184">
        <v>440937</v>
      </c>
      <c r="F31" s="107"/>
      <c r="G31" s="107"/>
      <c r="H31" s="107"/>
      <c r="I31" s="5"/>
      <c r="J31" s="8"/>
      <c r="K31" s="8"/>
    </row>
    <row r="32" spans="1:11" ht="19.5" customHeight="1" thickBot="1" x14ac:dyDescent="0.35">
      <c r="A32" s="8"/>
      <c r="B32" s="5"/>
      <c r="C32" s="183" t="s">
        <v>285</v>
      </c>
      <c r="D32" s="184">
        <v>119698</v>
      </c>
      <c r="E32" s="184">
        <v>120122</v>
      </c>
      <c r="F32" s="107"/>
      <c r="G32" s="107"/>
      <c r="H32" s="107"/>
      <c r="I32" s="5"/>
      <c r="J32" s="8"/>
      <c r="K32" s="8"/>
    </row>
    <row r="33" spans="1:11" ht="19.5" customHeight="1" thickBot="1" x14ac:dyDescent="0.35">
      <c r="A33" s="8"/>
      <c r="B33" s="5"/>
      <c r="C33" s="183" t="s">
        <v>286</v>
      </c>
      <c r="D33" s="184">
        <v>69690</v>
      </c>
      <c r="E33" s="184">
        <v>78319</v>
      </c>
      <c r="F33" s="107"/>
      <c r="G33" s="107"/>
      <c r="H33" s="107"/>
      <c r="I33" s="5"/>
      <c r="J33" s="8"/>
      <c r="K33" s="8"/>
    </row>
    <row r="34" spans="1:11" ht="19.5" customHeight="1" thickBot="1" x14ac:dyDescent="0.35">
      <c r="A34" s="8"/>
      <c r="B34" s="5"/>
      <c r="C34" s="183" t="s">
        <v>287</v>
      </c>
      <c r="D34" s="184">
        <v>84827</v>
      </c>
      <c r="E34" s="184">
        <v>95683</v>
      </c>
      <c r="F34" s="107"/>
      <c r="G34" s="107"/>
      <c r="H34" s="107"/>
      <c r="I34" s="5"/>
      <c r="J34" s="8"/>
      <c r="K34" s="8"/>
    </row>
    <row r="35" spans="1:11" ht="19.5" customHeight="1" thickBot="1" x14ac:dyDescent="0.35">
      <c r="A35" s="8"/>
      <c r="B35" s="5"/>
      <c r="C35" s="183" t="s">
        <v>288</v>
      </c>
      <c r="D35" s="184">
        <v>34051</v>
      </c>
      <c r="E35" s="184">
        <v>37898</v>
      </c>
      <c r="F35" s="107"/>
      <c r="G35" s="107"/>
      <c r="H35" s="107"/>
      <c r="I35" s="5"/>
      <c r="J35" s="8"/>
      <c r="K35" s="8"/>
    </row>
    <row r="36" spans="1:11" ht="19.5" customHeight="1" thickBot="1" x14ac:dyDescent="0.35">
      <c r="A36" s="8"/>
      <c r="B36" s="5"/>
      <c r="C36" s="183" t="s">
        <v>289</v>
      </c>
      <c r="D36" s="184">
        <v>31254</v>
      </c>
      <c r="E36" s="184">
        <v>36863</v>
      </c>
      <c r="F36" s="107"/>
      <c r="G36" s="107"/>
      <c r="H36" s="107"/>
      <c r="I36" s="5"/>
      <c r="J36" s="8"/>
      <c r="K36" s="8"/>
    </row>
    <row r="37" spans="1:11" ht="19.5" customHeight="1" thickBot="1" x14ac:dyDescent="0.35">
      <c r="A37" s="8"/>
      <c r="B37" s="5"/>
      <c r="C37" s="183" t="s">
        <v>290</v>
      </c>
      <c r="D37" s="184">
        <v>33018</v>
      </c>
      <c r="E37" s="184">
        <v>35344</v>
      </c>
      <c r="F37" s="107"/>
      <c r="G37" s="107"/>
      <c r="H37" s="107"/>
      <c r="I37" s="5"/>
      <c r="J37" s="8"/>
      <c r="K37" s="8"/>
    </row>
    <row r="38" spans="1:11" ht="19.5" customHeight="1" thickBot="1" x14ac:dyDescent="0.35">
      <c r="A38" s="8"/>
      <c r="B38" s="5"/>
      <c r="C38" s="183" t="s">
        <v>291</v>
      </c>
      <c r="D38" s="184">
        <v>19403</v>
      </c>
      <c r="E38" s="184">
        <v>22875</v>
      </c>
      <c r="F38" s="107"/>
      <c r="G38" s="107"/>
      <c r="H38" s="107"/>
      <c r="I38" s="5"/>
      <c r="J38" s="8"/>
      <c r="K38" s="8"/>
    </row>
    <row r="39" spans="1:11" ht="19.5" customHeight="1" thickBot="1" x14ac:dyDescent="0.35">
      <c r="A39" s="8"/>
      <c r="B39" s="5"/>
      <c r="C39" s="183" t="s">
        <v>292</v>
      </c>
      <c r="D39" s="184">
        <v>22309</v>
      </c>
      <c r="E39" s="184">
        <v>24084</v>
      </c>
      <c r="F39" s="107"/>
      <c r="G39" s="107"/>
      <c r="H39" s="107"/>
      <c r="I39" s="5"/>
      <c r="J39" s="8"/>
      <c r="K39" s="8"/>
    </row>
    <row r="40" spans="1:11" ht="19.5" customHeight="1" thickBot="1" x14ac:dyDescent="0.35">
      <c r="A40" s="8"/>
      <c r="B40" s="5"/>
      <c r="C40" s="183" t="s">
        <v>293</v>
      </c>
      <c r="D40" s="184">
        <v>7486</v>
      </c>
      <c r="E40" s="184">
        <v>8804</v>
      </c>
      <c r="F40" s="107"/>
      <c r="G40" s="107"/>
      <c r="H40" s="107"/>
      <c r="I40" s="5"/>
      <c r="J40" s="8"/>
      <c r="K40" s="8"/>
    </row>
    <row r="41" spans="1:11" ht="19.5" customHeight="1" thickBot="1" x14ac:dyDescent="0.35">
      <c r="A41" s="8"/>
      <c r="B41" s="5"/>
      <c r="C41" s="183" t="s">
        <v>294</v>
      </c>
      <c r="D41" s="184">
        <v>14352</v>
      </c>
      <c r="E41" s="184">
        <v>15764</v>
      </c>
      <c r="F41" s="107"/>
      <c r="G41" s="107"/>
      <c r="H41" s="107"/>
      <c r="I41" s="5"/>
      <c r="J41" s="8"/>
      <c r="K41" s="8"/>
    </row>
    <row r="42" spans="1:11" ht="19.5" customHeight="1" thickBot="1" x14ac:dyDescent="0.35">
      <c r="A42" s="8"/>
      <c r="B42" s="5"/>
      <c r="C42" s="183" t="s">
        <v>295</v>
      </c>
      <c r="D42" s="184">
        <v>13186</v>
      </c>
      <c r="E42" s="184">
        <v>14292</v>
      </c>
      <c r="F42" s="107"/>
      <c r="G42" s="107"/>
      <c r="H42" s="107"/>
      <c r="I42" s="5"/>
      <c r="J42" s="8"/>
      <c r="K42" s="8"/>
    </row>
    <row r="43" spans="1:11" ht="19.5" customHeight="1" thickBot="1" x14ac:dyDescent="0.35">
      <c r="A43" s="8"/>
      <c r="B43" s="5"/>
      <c r="C43" s="183" t="s">
        <v>296</v>
      </c>
      <c r="D43" s="184">
        <v>3006</v>
      </c>
      <c r="E43" s="184">
        <v>3629</v>
      </c>
      <c r="F43" s="107"/>
      <c r="G43" s="107"/>
      <c r="H43" s="107"/>
      <c r="I43" s="5"/>
      <c r="J43" s="8"/>
      <c r="K43" s="8"/>
    </row>
    <row r="44" spans="1:11" ht="19.5" customHeight="1" thickBot="1" x14ac:dyDescent="0.35">
      <c r="A44" s="8"/>
      <c r="B44" s="5"/>
      <c r="C44" s="183" t="s">
        <v>297</v>
      </c>
      <c r="D44" s="184">
        <v>2084</v>
      </c>
      <c r="E44" s="184">
        <v>2474</v>
      </c>
      <c r="F44" s="107"/>
      <c r="G44" s="107"/>
      <c r="H44" s="107"/>
      <c r="I44" s="5"/>
      <c r="J44" s="8"/>
      <c r="K44" s="8"/>
    </row>
    <row r="45" spans="1:11" ht="19.5" customHeight="1" thickBot="1" x14ac:dyDescent="0.35">
      <c r="A45" s="8"/>
      <c r="B45" s="5"/>
      <c r="C45" s="183" t="s">
        <v>298</v>
      </c>
      <c r="D45" s="184">
        <v>1250</v>
      </c>
      <c r="E45" s="184">
        <v>1312</v>
      </c>
      <c r="F45" s="107"/>
      <c r="G45" s="107"/>
      <c r="H45" s="107"/>
      <c r="I45" s="5"/>
      <c r="J45" s="8"/>
      <c r="K45" s="8"/>
    </row>
    <row r="46" spans="1:11" ht="19.5" customHeight="1" thickBot="1" x14ac:dyDescent="0.35">
      <c r="A46" s="8"/>
      <c r="B46" s="5"/>
      <c r="C46" s="183" t="s">
        <v>299</v>
      </c>
      <c r="D46" s="185">
        <v>816</v>
      </c>
      <c r="E46" s="185">
        <v>829</v>
      </c>
      <c r="F46" s="107"/>
      <c r="G46" s="107"/>
      <c r="H46" s="107"/>
      <c r="I46" s="5"/>
      <c r="J46" s="8"/>
      <c r="K46" s="8"/>
    </row>
    <row r="47" spans="1:11" ht="19.5" customHeight="1" x14ac:dyDescent="0.3">
      <c r="A47" s="8"/>
      <c r="B47" s="5"/>
      <c r="C47" s="110" t="s">
        <v>300</v>
      </c>
      <c r="D47" s="106">
        <v>66</v>
      </c>
      <c r="E47" s="106">
        <v>69</v>
      </c>
      <c r="F47" s="107"/>
      <c r="G47" s="107"/>
      <c r="H47" s="107"/>
      <c r="I47" s="5"/>
      <c r="J47" s="8"/>
      <c r="K47" s="8"/>
    </row>
    <row r="48" spans="1:11" ht="19.5" customHeight="1" thickBot="1" x14ac:dyDescent="0.35">
      <c r="A48" s="8"/>
      <c r="B48" s="5"/>
      <c r="C48" s="127" t="s">
        <v>301</v>
      </c>
      <c r="D48" s="129">
        <v>6</v>
      </c>
      <c r="E48" s="129">
        <v>29</v>
      </c>
      <c r="F48" s="107"/>
      <c r="G48" s="107"/>
      <c r="H48" s="107"/>
      <c r="I48" s="5"/>
      <c r="J48" s="8"/>
      <c r="K48" s="8"/>
    </row>
    <row r="49" spans="1:11" ht="19.5" customHeight="1" thickTop="1" x14ac:dyDescent="0.3">
      <c r="A49" s="8"/>
      <c r="B49" s="5"/>
      <c r="C49" s="186" t="s">
        <v>82</v>
      </c>
      <c r="D49" s="107">
        <v>8597386</v>
      </c>
      <c r="E49" s="107">
        <v>8597386</v>
      </c>
      <c r="F49" s="107"/>
      <c r="G49" s="107"/>
      <c r="H49" s="107"/>
      <c r="I49" s="5"/>
      <c r="J49" s="8"/>
      <c r="K49" s="8"/>
    </row>
    <row r="50" spans="1:11" ht="19.5" customHeight="1" x14ac:dyDescent="0.3">
      <c r="A50" s="8"/>
      <c r="B50" s="5"/>
      <c r="C50" s="110" t="s">
        <v>102</v>
      </c>
      <c r="D50" s="106" t="s">
        <v>139</v>
      </c>
      <c r="E50" s="106" t="s">
        <v>139</v>
      </c>
      <c r="F50" s="107"/>
      <c r="G50" s="107"/>
      <c r="H50" s="107"/>
      <c r="I50" s="5"/>
      <c r="J50" s="8"/>
      <c r="K50" s="8"/>
    </row>
    <row r="51" spans="1:11" ht="19.5" customHeight="1" thickBot="1" x14ac:dyDescent="0.35">
      <c r="A51" s="8"/>
      <c r="B51" s="5"/>
      <c r="C51" s="127" t="s">
        <v>103</v>
      </c>
      <c r="D51" s="108">
        <v>8597386</v>
      </c>
      <c r="E51" s="108">
        <v>8597386</v>
      </c>
      <c r="F51" s="107"/>
      <c r="G51" s="107"/>
      <c r="H51" s="107"/>
      <c r="I51" s="5"/>
      <c r="J51" s="8"/>
      <c r="K51" s="8"/>
    </row>
    <row r="52" spans="1:11" ht="19.5" customHeight="1" thickTop="1" thickBot="1" x14ac:dyDescent="0.35">
      <c r="A52" s="8"/>
      <c r="B52" s="5"/>
      <c r="C52" s="186" t="s">
        <v>104</v>
      </c>
      <c r="D52" s="187">
        <v>1144122</v>
      </c>
      <c r="E52" s="187">
        <v>1165888</v>
      </c>
      <c r="F52" s="107"/>
      <c r="G52" s="107"/>
      <c r="H52" s="107"/>
      <c r="I52" s="5"/>
      <c r="J52" s="8"/>
      <c r="K52" s="8"/>
    </row>
    <row r="53" spans="1:11" ht="19.5" customHeight="1" thickTop="1" thickBot="1" x14ac:dyDescent="0.35">
      <c r="A53" s="8"/>
      <c r="B53" s="5"/>
      <c r="C53" s="152" t="s">
        <v>90</v>
      </c>
      <c r="D53" s="188">
        <v>18620306</v>
      </c>
      <c r="E53" s="188">
        <v>19198463</v>
      </c>
      <c r="F53" s="107"/>
      <c r="G53" s="107"/>
      <c r="H53" s="107"/>
      <c r="I53" s="5"/>
      <c r="J53" s="8"/>
      <c r="K53" s="8"/>
    </row>
    <row r="54" spans="1:11" ht="19.5" customHeight="1" thickTop="1" x14ac:dyDescent="0.3">
      <c r="A54" s="8"/>
      <c r="B54" s="5"/>
      <c r="C54" s="116"/>
      <c r="D54" s="107"/>
      <c r="E54" s="107"/>
      <c r="F54" s="107"/>
      <c r="G54" s="107"/>
      <c r="H54" s="107"/>
      <c r="I54" s="5"/>
      <c r="J54" s="8"/>
      <c r="K54" s="8"/>
    </row>
    <row r="55" spans="1:11" ht="19.5" customHeight="1" x14ac:dyDescent="0.3">
      <c r="A55" s="8"/>
      <c r="B55" s="5"/>
      <c r="C55" s="116"/>
      <c r="D55" s="107"/>
      <c r="E55" s="107"/>
      <c r="F55" s="107"/>
      <c r="G55" s="107"/>
      <c r="H55" s="107"/>
      <c r="I55" s="5"/>
      <c r="J55" s="8"/>
      <c r="K55" s="8"/>
    </row>
    <row r="56" spans="1:11" ht="19.5" customHeight="1" thickBot="1" x14ac:dyDescent="0.35">
      <c r="A56" s="8"/>
      <c r="B56" s="5"/>
      <c r="C56" s="115"/>
      <c r="D56" s="256" t="s">
        <v>91</v>
      </c>
      <c r="E56" s="256"/>
      <c r="F56" s="256"/>
      <c r="G56" s="256"/>
      <c r="H56" s="256"/>
      <c r="I56" s="256"/>
      <c r="J56" s="8"/>
      <c r="K56" s="8"/>
    </row>
    <row r="57" spans="1:11" ht="19.5" customHeight="1" thickTop="1" thickBot="1" x14ac:dyDescent="0.35">
      <c r="A57" s="8"/>
      <c r="B57" s="5"/>
      <c r="C57" s="110" t="s">
        <v>222</v>
      </c>
      <c r="D57" s="179" t="s">
        <v>92</v>
      </c>
      <c r="E57" s="179" t="s">
        <v>93</v>
      </c>
      <c r="F57" s="179" t="s">
        <v>94</v>
      </c>
      <c r="G57" s="179" t="s">
        <v>95</v>
      </c>
      <c r="H57" s="179" t="s">
        <v>96</v>
      </c>
      <c r="I57" s="163" t="s">
        <v>74</v>
      </c>
      <c r="J57" s="8"/>
      <c r="K57" s="8"/>
    </row>
    <row r="58" spans="1:11" ht="19.5" customHeight="1" thickTop="1" x14ac:dyDescent="0.3">
      <c r="A58" s="8"/>
      <c r="B58" s="5"/>
      <c r="C58" s="189" t="s">
        <v>302</v>
      </c>
      <c r="D58" s="173">
        <v>395</v>
      </c>
      <c r="E58" s="173" t="s">
        <v>139</v>
      </c>
      <c r="F58" s="173" t="s">
        <v>139</v>
      </c>
      <c r="G58" s="95">
        <v>642834</v>
      </c>
      <c r="H58" s="173" t="s">
        <v>139</v>
      </c>
      <c r="I58" s="104">
        <v>643229</v>
      </c>
      <c r="J58" s="8"/>
      <c r="K58" s="8"/>
    </row>
    <row r="59" spans="1:11" ht="19.5" customHeight="1" x14ac:dyDescent="0.3">
      <c r="A59" s="8"/>
      <c r="B59" s="5"/>
      <c r="C59" s="110" t="s">
        <v>303</v>
      </c>
      <c r="D59" s="106">
        <v>310</v>
      </c>
      <c r="E59" s="106" t="s">
        <v>139</v>
      </c>
      <c r="F59" s="106" t="s">
        <v>139</v>
      </c>
      <c r="G59" s="105">
        <v>476725</v>
      </c>
      <c r="H59" s="106" t="s">
        <v>139</v>
      </c>
      <c r="I59" s="107">
        <v>477035</v>
      </c>
      <c r="J59" s="8"/>
      <c r="K59" s="8"/>
    </row>
    <row r="60" spans="1:11" ht="19.5" customHeight="1" thickBot="1" x14ac:dyDescent="0.35">
      <c r="A60" s="8"/>
      <c r="B60" s="5"/>
      <c r="C60" s="180" t="s">
        <v>304</v>
      </c>
      <c r="D60" s="129">
        <v>1</v>
      </c>
      <c r="E60" s="155"/>
      <c r="F60" s="155"/>
      <c r="G60" s="108">
        <v>16515</v>
      </c>
      <c r="H60" s="129" t="s">
        <v>139</v>
      </c>
      <c r="I60" s="109">
        <v>16516</v>
      </c>
      <c r="J60" s="8"/>
      <c r="K60" s="8"/>
    </row>
    <row r="61" spans="1:11" ht="19.5" customHeight="1" thickTop="1" x14ac:dyDescent="0.3">
      <c r="A61" s="8"/>
      <c r="B61" s="5"/>
      <c r="C61" s="116"/>
      <c r="D61" s="107"/>
      <c r="E61" s="107"/>
      <c r="F61" s="107"/>
      <c r="G61" s="107"/>
      <c r="H61" s="107"/>
      <c r="I61" s="5"/>
      <c r="J61" s="8"/>
      <c r="K61" s="8"/>
    </row>
    <row r="62" spans="1:11" ht="19.5" customHeight="1" x14ac:dyDescent="0.3">
      <c r="A62" s="8"/>
      <c r="B62" s="5"/>
      <c r="C62" s="116"/>
      <c r="D62" s="107"/>
      <c r="E62" s="107"/>
      <c r="F62" s="107"/>
      <c r="G62" s="107"/>
      <c r="H62" s="107"/>
      <c r="I62" s="5"/>
      <c r="J62" s="8"/>
      <c r="K62" s="8"/>
    </row>
    <row r="63" spans="1:11" ht="19.5" customHeight="1" x14ac:dyDescent="0.3">
      <c r="A63" s="8"/>
      <c r="B63" s="5"/>
      <c r="C63" s="116"/>
      <c r="D63" s="107"/>
      <c r="E63" s="107"/>
      <c r="F63" s="107"/>
      <c r="G63" s="107"/>
      <c r="H63" s="107"/>
      <c r="I63" s="5"/>
      <c r="J63" s="8"/>
      <c r="K63" s="8"/>
    </row>
    <row r="64" spans="1:11" ht="19.5" customHeight="1" thickBot="1" x14ac:dyDescent="0.35">
      <c r="A64" s="8"/>
      <c r="B64" s="5"/>
      <c r="C64" s="251" t="s">
        <v>101</v>
      </c>
      <c r="D64" s="251"/>
      <c r="E64" s="251"/>
      <c r="F64" s="107"/>
      <c r="G64" s="107"/>
      <c r="H64" s="107"/>
      <c r="I64" s="5"/>
      <c r="J64" s="8"/>
      <c r="K64" s="8"/>
    </row>
    <row r="65" spans="1:11" ht="19.5" customHeight="1" thickTop="1" x14ac:dyDescent="0.3">
      <c r="A65" s="8"/>
      <c r="B65" s="5"/>
      <c r="C65" s="260" t="s">
        <v>222</v>
      </c>
      <c r="D65" s="250" t="s">
        <v>106</v>
      </c>
      <c r="E65" s="158" t="s">
        <v>305</v>
      </c>
      <c r="F65" s="107"/>
      <c r="G65" s="107"/>
      <c r="H65" s="107"/>
      <c r="I65" s="5"/>
      <c r="J65" s="8"/>
      <c r="K65" s="8"/>
    </row>
    <row r="66" spans="1:11" ht="19.5" customHeight="1" thickBot="1" x14ac:dyDescent="0.35">
      <c r="A66" s="8"/>
      <c r="B66" s="5"/>
      <c r="C66" s="259"/>
      <c r="D66" s="251"/>
      <c r="E66" s="166" t="s">
        <v>306</v>
      </c>
      <c r="F66" s="107"/>
      <c r="G66" s="107"/>
      <c r="H66" s="107"/>
      <c r="I66" s="5"/>
      <c r="J66" s="8"/>
      <c r="K66" s="8"/>
    </row>
    <row r="67" spans="1:11" ht="19.5" customHeight="1" thickTop="1" thickBot="1" x14ac:dyDescent="0.35">
      <c r="A67" s="8"/>
      <c r="B67" s="5"/>
      <c r="C67" s="183" t="s">
        <v>281</v>
      </c>
      <c r="D67" s="184">
        <v>429816</v>
      </c>
      <c r="E67" s="184">
        <v>316286</v>
      </c>
      <c r="F67" s="107"/>
      <c r="G67" s="107"/>
      <c r="H67" s="107"/>
      <c r="I67" s="5"/>
      <c r="J67" s="8"/>
      <c r="K67" s="8"/>
    </row>
    <row r="68" spans="1:11" ht="19.5" customHeight="1" thickBot="1" x14ac:dyDescent="0.35">
      <c r="A68" s="8"/>
      <c r="B68" s="5"/>
      <c r="C68" s="183" t="s">
        <v>307</v>
      </c>
      <c r="D68" s="184">
        <v>70781</v>
      </c>
      <c r="E68" s="184">
        <v>56438</v>
      </c>
      <c r="F68" s="107"/>
      <c r="G68" s="107"/>
      <c r="H68" s="107"/>
      <c r="I68" s="5"/>
      <c r="J68" s="8"/>
      <c r="K68" s="8"/>
    </row>
    <row r="69" spans="1:11" ht="19.5" customHeight="1" thickBot="1" x14ac:dyDescent="0.35">
      <c r="A69" s="8"/>
      <c r="B69" s="5"/>
      <c r="C69" s="183" t="s">
        <v>282</v>
      </c>
      <c r="D69" s="184">
        <v>65287</v>
      </c>
      <c r="E69" s="184">
        <v>47772</v>
      </c>
      <c r="F69" s="107"/>
      <c r="G69" s="107"/>
      <c r="H69" s="107"/>
      <c r="I69" s="5"/>
      <c r="J69" s="8"/>
      <c r="K69" s="8"/>
    </row>
    <row r="70" spans="1:11" ht="19.5" customHeight="1" thickBot="1" x14ac:dyDescent="0.35">
      <c r="A70" s="8"/>
      <c r="B70" s="5"/>
      <c r="C70" s="183" t="s">
        <v>283</v>
      </c>
      <c r="D70" s="184">
        <v>36869</v>
      </c>
      <c r="E70" s="184">
        <v>25010</v>
      </c>
      <c r="F70" s="107"/>
      <c r="G70" s="107"/>
      <c r="H70" s="107"/>
      <c r="I70" s="5"/>
      <c r="J70" s="8"/>
      <c r="K70" s="8"/>
    </row>
    <row r="71" spans="1:11" ht="19.5" customHeight="1" thickBot="1" x14ac:dyDescent="0.35">
      <c r="A71" s="8"/>
      <c r="B71" s="5"/>
      <c r="C71" s="183" t="s">
        <v>287</v>
      </c>
      <c r="D71" s="184">
        <v>13417</v>
      </c>
      <c r="E71" s="184">
        <v>9805</v>
      </c>
      <c r="F71" s="107"/>
      <c r="G71" s="107"/>
      <c r="H71" s="107"/>
      <c r="I71" s="5"/>
      <c r="J71" s="8"/>
      <c r="K71" s="8"/>
    </row>
    <row r="72" spans="1:11" ht="19.5" customHeight="1" thickBot="1" x14ac:dyDescent="0.35">
      <c r="A72" s="8"/>
      <c r="B72" s="5"/>
      <c r="C72" s="183" t="s">
        <v>286</v>
      </c>
      <c r="D72" s="184">
        <v>9526</v>
      </c>
      <c r="E72" s="184">
        <v>7203</v>
      </c>
      <c r="F72" s="107"/>
      <c r="G72" s="107"/>
      <c r="H72" s="107"/>
      <c r="I72" s="5"/>
      <c r="J72" s="8"/>
      <c r="K72" s="8"/>
    </row>
    <row r="73" spans="1:11" ht="19.5" customHeight="1" thickBot="1" x14ac:dyDescent="0.35">
      <c r="A73" s="8"/>
      <c r="B73" s="5"/>
      <c r="C73" s="183" t="s">
        <v>289</v>
      </c>
      <c r="D73" s="184">
        <v>6311</v>
      </c>
      <c r="E73" s="184">
        <v>4929</v>
      </c>
      <c r="F73" s="107"/>
      <c r="G73" s="107"/>
      <c r="H73" s="107"/>
      <c r="I73" s="5"/>
      <c r="J73" s="8"/>
      <c r="K73" s="8"/>
    </row>
    <row r="74" spans="1:11" ht="19.5" customHeight="1" thickBot="1" x14ac:dyDescent="0.35">
      <c r="A74" s="8"/>
      <c r="B74" s="5"/>
      <c r="C74" s="183" t="s">
        <v>288</v>
      </c>
      <c r="D74" s="184">
        <v>3542</v>
      </c>
      <c r="E74" s="184">
        <v>2849</v>
      </c>
      <c r="F74" s="107"/>
      <c r="G74" s="107"/>
      <c r="H74" s="107"/>
      <c r="I74" s="5"/>
      <c r="J74" s="8"/>
      <c r="K74" s="8"/>
    </row>
    <row r="75" spans="1:11" ht="19.5" customHeight="1" thickBot="1" x14ac:dyDescent="0.35">
      <c r="A75" s="8"/>
      <c r="B75" s="5"/>
      <c r="C75" s="183" t="s">
        <v>291</v>
      </c>
      <c r="D75" s="184">
        <v>3454</v>
      </c>
      <c r="E75" s="184">
        <v>2819</v>
      </c>
      <c r="F75" s="107"/>
      <c r="G75" s="107"/>
      <c r="H75" s="107"/>
      <c r="I75" s="5"/>
      <c r="J75" s="8"/>
      <c r="K75" s="8"/>
    </row>
    <row r="76" spans="1:11" ht="19.5" customHeight="1" thickBot="1" x14ac:dyDescent="0.35">
      <c r="A76" s="8"/>
      <c r="B76" s="5"/>
      <c r="C76" s="183" t="s">
        <v>290</v>
      </c>
      <c r="D76" s="184">
        <v>2167</v>
      </c>
      <c r="E76" s="184">
        <v>1687</v>
      </c>
      <c r="F76" s="107"/>
      <c r="G76" s="107"/>
      <c r="H76" s="107"/>
      <c r="I76" s="5"/>
      <c r="J76" s="8"/>
      <c r="K76" s="8"/>
    </row>
    <row r="77" spans="1:11" ht="19.5" customHeight="1" thickBot="1" x14ac:dyDescent="0.35">
      <c r="A77" s="8"/>
      <c r="B77" s="5"/>
      <c r="C77" s="183" t="s">
        <v>294</v>
      </c>
      <c r="D77" s="184">
        <v>1614</v>
      </c>
      <c r="E77" s="184">
        <v>1276</v>
      </c>
      <c r="F77" s="107"/>
      <c r="G77" s="107"/>
      <c r="H77" s="107"/>
      <c r="I77" s="5"/>
      <c r="J77" s="8"/>
      <c r="K77" s="8"/>
    </row>
    <row r="78" spans="1:11" ht="19.5" customHeight="1" thickBot="1" x14ac:dyDescent="0.35">
      <c r="A78" s="8"/>
      <c r="B78" s="5"/>
      <c r="C78" s="183" t="s">
        <v>292</v>
      </c>
      <c r="D78" s="184">
        <v>1587</v>
      </c>
      <c r="E78" s="184">
        <v>1160</v>
      </c>
      <c r="F78" s="107"/>
      <c r="G78" s="107"/>
      <c r="H78" s="107"/>
      <c r="I78" s="5"/>
      <c r="J78" s="8"/>
      <c r="K78" s="8"/>
    </row>
    <row r="79" spans="1:11" ht="19.5" customHeight="1" thickBot="1" x14ac:dyDescent="0.35">
      <c r="A79" s="8"/>
      <c r="B79" s="5"/>
      <c r="C79" s="183" t="s">
        <v>293</v>
      </c>
      <c r="D79" s="184">
        <v>1348</v>
      </c>
      <c r="E79" s="184">
        <v>1108</v>
      </c>
      <c r="F79" s="107"/>
      <c r="G79" s="107"/>
      <c r="H79" s="107"/>
      <c r="I79" s="5"/>
      <c r="J79" s="8"/>
      <c r="K79" s="8"/>
    </row>
    <row r="80" spans="1:11" ht="19.5" customHeight="1" thickBot="1" x14ac:dyDescent="0.35">
      <c r="A80" s="8"/>
      <c r="B80" s="5"/>
      <c r="C80" s="183" t="s">
        <v>295</v>
      </c>
      <c r="D80" s="184">
        <v>1075</v>
      </c>
      <c r="E80" s="185">
        <v>926</v>
      </c>
      <c r="F80" s="107"/>
      <c r="G80" s="107"/>
      <c r="H80" s="107"/>
      <c r="I80" s="5"/>
      <c r="J80" s="8"/>
      <c r="K80" s="8"/>
    </row>
    <row r="81" spans="1:11" ht="19.5" customHeight="1" thickBot="1" x14ac:dyDescent="0.35">
      <c r="A81" s="8"/>
      <c r="B81" s="5"/>
      <c r="C81" s="183" t="s">
        <v>296</v>
      </c>
      <c r="D81" s="185">
        <v>604</v>
      </c>
      <c r="E81" s="185">
        <v>508</v>
      </c>
      <c r="F81" s="107"/>
      <c r="G81" s="107"/>
      <c r="H81" s="107"/>
      <c r="I81" s="5"/>
      <c r="J81" s="8"/>
      <c r="K81" s="8"/>
    </row>
    <row r="82" spans="1:11" ht="19.5" customHeight="1" thickBot="1" x14ac:dyDescent="0.35">
      <c r="A82" s="8"/>
      <c r="B82" s="5"/>
      <c r="C82" s="183" t="s">
        <v>297</v>
      </c>
      <c r="D82" s="185">
        <v>382</v>
      </c>
      <c r="E82" s="185">
        <v>316</v>
      </c>
      <c r="F82" s="107"/>
      <c r="G82" s="107"/>
      <c r="H82" s="107"/>
      <c r="I82" s="5"/>
      <c r="J82" s="8"/>
      <c r="K82" s="8"/>
    </row>
    <row r="83" spans="1:11" ht="19.5" customHeight="1" thickBot="1" x14ac:dyDescent="0.35">
      <c r="A83" s="8"/>
      <c r="B83" s="5"/>
      <c r="C83" s="183" t="s">
        <v>285</v>
      </c>
      <c r="D83" s="185">
        <v>152</v>
      </c>
      <c r="E83" s="185">
        <v>135</v>
      </c>
      <c r="F83" s="107"/>
      <c r="G83" s="107"/>
      <c r="H83" s="107"/>
      <c r="I83" s="5"/>
      <c r="J83" s="8"/>
      <c r="K83" s="8"/>
    </row>
    <row r="84" spans="1:11" ht="19.5" customHeight="1" thickBot="1" x14ac:dyDescent="0.35">
      <c r="A84" s="8"/>
      <c r="B84" s="5"/>
      <c r="C84" s="183" t="s">
        <v>298</v>
      </c>
      <c r="D84" s="185">
        <v>32</v>
      </c>
      <c r="E84" s="185">
        <v>24</v>
      </c>
      <c r="F84" s="107"/>
      <c r="G84" s="107"/>
      <c r="H84" s="107"/>
      <c r="I84" s="5"/>
      <c r="J84" s="8"/>
      <c r="K84" s="8"/>
    </row>
    <row r="85" spans="1:11" ht="19.5" customHeight="1" thickBot="1" x14ac:dyDescent="0.35">
      <c r="A85" s="8"/>
      <c r="B85" s="5"/>
      <c r="C85" s="183" t="s">
        <v>301</v>
      </c>
      <c r="D85" s="185">
        <v>26</v>
      </c>
      <c r="E85" s="185">
        <v>23</v>
      </c>
      <c r="F85" s="107"/>
      <c r="G85" s="107"/>
      <c r="H85" s="107"/>
      <c r="I85" s="5"/>
      <c r="J85" s="8"/>
      <c r="K85" s="8"/>
    </row>
    <row r="86" spans="1:11" ht="19.5" customHeight="1" thickBot="1" x14ac:dyDescent="0.35">
      <c r="A86" s="8"/>
      <c r="B86" s="5"/>
      <c r="C86" s="183" t="s">
        <v>300</v>
      </c>
      <c r="D86" s="185" t="s">
        <v>26</v>
      </c>
      <c r="E86" s="185" t="s">
        <v>26</v>
      </c>
      <c r="F86" s="107"/>
      <c r="G86" s="107"/>
      <c r="H86" s="107"/>
      <c r="I86" s="5"/>
      <c r="J86" s="8"/>
      <c r="K86" s="8"/>
    </row>
    <row r="87" spans="1:11" ht="19.5" customHeight="1" thickBot="1" x14ac:dyDescent="0.35">
      <c r="A87" s="8"/>
      <c r="B87" s="5"/>
      <c r="C87" s="183" t="s">
        <v>299</v>
      </c>
      <c r="D87" s="185" t="s">
        <v>26</v>
      </c>
      <c r="E87" s="185" t="s">
        <v>26</v>
      </c>
      <c r="F87" s="107"/>
      <c r="G87" s="107"/>
      <c r="H87" s="107"/>
      <c r="I87" s="5"/>
      <c r="J87" s="8"/>
      <c r="K87" s="8"/>
    </row>
    <row r="88" spans="1:11" ht="19.5" customHeight="1" thickBot="1" x14ac:dyDescent="0.35">
      <c r="A88" s="8"/>
      <c r="B88" s="5"/>
      <c r="C88" s="146" t="s">
        <v>105</v>
      </c>
      <c r="D88" s="109">
        <v>647988</v>
      </c>
      <c r="E88" s="109">
        <v>480274</v>
      </c>
      <c r="F88" s="107"/>
      <c r="G88" s="107"/>
      <c r="H88" s="107"/>
      <c r="I88" s="5"/>
      <c r="J88" s="8"/>
      <c r="K88" s="8"/>
    </row>
    <row r="89" spans="1:11" ht="19.5" customHeight="1" thickTop="1" x14ac:dyDescent="0.3">
      <c r="A89" s="8"/>
      <c r="B89" s="5"/>
      <c r="C89" s="116"/>
      <c r="D89" s="107"/>
      <c r="E89" s="107"/>
      <c r="F89" s="107"/>
      <c r="G89" s="107"/>
      <c r="H89" s="107"/>
      <c r="I89" s="5"/>
      <c r="J89" s="8"/>
      <c r="K89" s="8"/>
    </row>
    <row r="90" spans="1:11" ht="19.5" customHeight="1" x14ac:dyDescent="0.3">
      <c r="A90" s="8"/>
      <c r="B90" s="5"/>
      <c r="C90" s="116"/>
      <c r="D90" s="107"/>
      <c r="E90" s="107"/>
      <c r="F90" s="107"/>
      <c r="G90" s="107"/>
      <c r="H90" s="107"/>
      <c r="I90" s="5"/>
      <c r="J90" s="8"/>
      <c r="K90" s="8"/>
    </row>
    <row r="91" spans="1:11" ht="19.5" customHeight="1" x14ac:dyDescent="0.3">
      <c r="A91" s="8"/>
      <c r="B91" s="5"/>
      <c r="C91" s="116"/>
      <c r="D91" s="107"/>
      <c r="E91" s="107"/>
      <c r="F91" s="107"/>
      <c r="G91" s="107"/>
      <c r="H91" s="107"/>
      <c r="I91" s="5"/>
      <c r="J91" s="8"/>
      <c r="K91" s="8"/>
    </row>
    <row r="92" spans="1:11" ht="19.5" customHeight="1" thickBot="1" x14ac:dyDescent="0.3">
      <c r="A92" s="8"/>
      <c r="B92" s="5"/>
      <c r="C92" s="115"/>
      <c r="D92" s="256" t="s">
        <v>308</v>
      </c>
      <c r="E92" s="256"/>
      <c r="F92" s="256"/>
      <c r="G92" s="256"/>
      <c r="H92" s="256"/>
      <c r="I92" s="257"/>
      <c r="J92" s="257"/>
      <c r="K92" s="8"/>
    </row>
    <row r="93" spans="1:11" ht="19.5" customHeight="1" thickTop="1" x14ac:dyDescent="0.3">
      <c r="A93" s="8"/>
      <c r="B93" s="5"/>
      <c r="C93" s="258" t="s">
        <v>222</v>
      </c>
      <c r="D93" s="158" t="s">
        <v>309</v>
      </c>
      <c r="E93" s="158" t="s">
        <v>311</v>
      </c>
      <c r="F93" s="158" t="s">
        <v>311</v>
      </c>
      <c r="G93" s="158" t="s">
        <v>311</v>
      </c>
      <c r="H93" s="252" t="s">
        <v>315</v>
      </c>
      <c r="I93" s="252"/>
      <c r="J93" s="252" t="s">
        <v>74</v>
      </c>
      <c r="K93" s="8"/>
    </row>
    <row r="94" spans="1:11" ht="19.5" customHeight="1" thickBot="1" x14ac:dyDescent="0.35">
      <c r="A94" s="8"/>
      <c r="B94" s="5"/>
      <c r="C94" s="259"/>
      <c r="D94" s="158" t="s">
        <v>310</v>
      </c>
      <c r="E94" s="158" t="s">
        <v>312</v>
      </c>
      <c r="F94" s="158" t="s">
        <v>313</v>
      </c>
      <c r="G94" s="158" t="s">
        <v>314</v>
      </c>
      <c r="H94" s="251" t="s">
        <v>316</v>
      </c>
      <c r="I94" s="251"/>
      <c r="J94" s="251"/>
      <c r="K94" s="8"/>
    </row>
    <row r="95" spans="1:11" ht="19.5" customHeight="1" thickTop="1" x14ac:dyDescent="0.3">
      <c r="A95" s="8"/>
      <c r="B95" s="5"/>
      <c r="C95" s="174" t="s">
        <v>81</v>
      </c>
      <c r="D95" s="95">
        <v>180439</v>
      </c>
      <c r="E95" s="95">
        <v>151467</v>
      </c>
      <c r="F95" s="95">
        <v>121597</v>
      </c>
      <c r="G95" s="95">
        <v>242576</v>
      </c>
      <c r="H95" s="253">
        <v>37491</v>
      </c>
      <c r="I95" s="253"/>
      <c r="J95" s="95">
        <v>733569</v>
      </c>
      <c r="K95" s="8"/>
    </row>
    <row r="96" spans="1:11" ht="19.5" customHeight="1" x14ac:dyDescent="0.3">
      <c r="A96" s="8"/>
      <c r="B96" s="5"/>
      <c r="C96" s="110" t="s">
        <v>82</v>
      </c>
      <c r="D96" s="106" t="s">
        <v>139</v>
      </c>
      <c r="E96" s="106" t="s">
        <v>139</v>
      </c>
      <c r="F96" s="106" t="s">
        <v>139</v>
      </c>
      <c r="G96" s="106" t="s">
        <v>139</v>
      </c>
      <c r="H96" s="218" t="s">
        <v>139</v>
      </c>
      <c r="I96" s="218"/>
      <c r="J96" s="106" t="s">
        <v>139</v>
      </c>
      <c r="K96" s="8"/>
    </row>
    <row r="97" spans="1:11" ht="19.5" customHeight="1" thickBot="1" x14ac:dyDescent="0.35">
      <c r="A97" s="8"/>
      <c r="B97" s="5"/>
      <c r="C97" s="180" t="s">
        <v>84</v>
      </c>
      <c r="D97" s="129" t="s">
        <v>139</v>
      </c>
      <c r="E97" s="129" t="s">
        <v>139</v>
      </c>
      <c r="F97" s="129" t="s">
        <v>139</v>
      </c>
      <c r="G97" s="108">
        <v>2656</v>
      </c>
      <c r="H97" s="254">
        <v>3893</v>
      </c>
      <c r="I97" s="254"/>
      <c r="J97" s="108">
        <v>6549</v>
      </c>
      <c r="K97" s="8"/>
    </row>
    <row r="98" spans="1:11" ht="19.5" customHeight="1" thickTop="1" x14ac:dyDescent="0.3">
      <c r="A98" s="8"/>
      <c r="B98" s="5"/>
      <c r="C98" s="116" t="s">
        <v>90</v>
      </c>
      <c r="D98" s="107">
        <v>180439</v>
      </c>
      <c r="E98" s="107">
        <v>151467</v>
      </c>
      <c r="F98" s="107">
        <v>121597</v>
      </c>
      <c r="G98" s="107">
        <v>245232</v>
      </c>
      <c r="H98" s="255">
        <v>41384</v>
      </c>
      <c r="I98" s="255"/>
      <c r="J98" s="107">
        <v>740118</v>
      </c>
      <c r="K98" s="8"/>
    </row>
    <row r="99" spans="1:11" ht="19.5" customHeight="1" x14ac:dyDescent="0.3">
      <c r="A99" s="8"/>
      <c r="B99" s="5"/>
      <c r="C99" s="116"/>
      <c r="D99" s="107"/>
      <c r="E99" s="107"/>
      <c r="F99" s="107"/>
      <c r="G99" s="107"/>
      <c r="H99" s="107"/>
      <c r="I99" s="5"/>
      <c r="J99" s="8"/>
      <c r="K99" s="8"/>
    </row>
    <row r="100" spans="1:11" ht="19.5" customHeight="1" x14ac:dyDescent="0.3">
      <c r="A100" s="8"/>
      <c r="B100" s="5"/>
      <c r="C100" s="116"/>
      <c r="D100" s="107"/>
      <c r="E100" s="107"/>
      <c r="F100" s="107"/>
      <c r="G100" s="107"/>
      <c r="H100" s="107"/>
      <c r="I100" s="5"/>
      <c r="J100" s="8"/>
      <c r="K100" s="8"/>
    </row>
    <row r="101" spans="1:11" ht="19.5" customHeight="1" thickBot="1" x14ac:dyDescent="0.35">
      <c r="A101" s="8"/>
      <c r="B101" s="5"/>
      <c r="C101" s="155"/>
      <c r="D101" s="190" t="s">
        <v>108</v>
      </c>
      <c r="E101" s="107"/>
      <c r="F101" s="107"/>
      <c r="G101" s="107"/>
      <c r="H101" s="107"/>
      <c r="I101" s="5"/>
      <c r="J101" s="8"/>
      <c r="K101" s="8"/>
    </row>
    <row r="102" spans="1:11" ht="19.5" customHeight="1" thickTop="1" thickBot="1" x14ac:dyDescent="0.35">
      <c r="A102" s="8"/>
      <c r="B102" s="5"/>
      <c r="C102" s="120" t="s">
        <v>222</v>
      </c>
      <c r="D102" s="158" t="s">
        <v>74</v>
      </c>
      <c r="E102" s="107"/>
      <c r="F102" s="107"/>
      <c r="G102" s="107"/>
      <c r="H102" s="107"/>
      <c r="I102" s="5"/>
      <c r="J102" s="8"/>
      <c r="K102" s="8"/>
    </row>
    <row r="103" spans="1:11" ht="19.5" customHeight="1" thickTop="1" x14ac:dyDescent="0.3">
      <c r="A103" s="8"/>
      <c r="B103" s="5"/>
      <c r="C103" s="174" t="s">
        <v>109</v>
      </c>
      <c r="D103" s="95">
        <v>303156</v>
      </c>
      <c r="E103" s="107"/>
      <c r="F103" s="107"/>
      <c r="G103" s="107"/>
      <c r="H103" s="107"/>
      <c r="I103" s="5"/>
      <c r="J103" s="8"/>
      <c r="K103" s="8"/>
    </row>
    <row r="104" spans="1:11" ht="19.5" customHeight="1" thickBot="1" x14ac:dyDescent="0.35">
      <c r="A104" s="8"/>
      <c r="B104" s="5"/>
      <c r="C104" s="110" t="s">
        <v>110</v>
      </c>
      <c r="D104" s="105">
        <v>321237</v>
      </c>
      <c r="E104" s="107"/>
      <c r="F104" s="107"/>
      <c r="G104" s="107"/>
      <c r="H104" s="107"/>
      <c r="I104" s="5"/>
      <c r="J104" s="8"/>
      <c r="K104" s="8"/>
    </row>
    <row r="105" spans="1:11" ht="19.5" customHeight="1" thickTop="1" thickBot="1" x14ac:dyDescent="0.35">
      <c r="A105" s="8"/>
      <c r="B105" s="5"/>
      <c r="C105" s="191" t="s">
        <v>111</v>
      </c>
      <c r="D105" s="188">
        <v>624393</v>
      </c>
      <c r="E105" s="107"/>
      <c r="F105" s="107"/>
      <c r="G105" s="107"/>
      <c r="H105" s="107"/>
      <c r="I105" s="5"/>
      <c r="J105" s="8"/>
      <c r="K105" s="8"/>
    </row>
    <row r="106" spans="1:11" ht="19.5" customHeight="1" thickTop="1" x14ac:dyDescent="0.25">
      <c r="A106" s="8"/>
      <c r="B106" s="5"/>
      <c r="C106" s="114"/>
      <c r="D106" s="115"/>
      <c r="E106" s="107"/>
      <c r="F106" s="107"/>
      <c r="G106" s="107"/>
      <c r="H106" s="107"/>
      <c r="I106" s="5"/>
      <c r="J106" s="8"/>
      <c r="K106" s="8"/>
    </row>
    <row r="107" spans="1:11" ht="19.5" customHeight="1" x14ac:dyDescent="0.3">
      <c r="A107" s="8"/>
      <c r="B107" s="5"/>
      <c r="C107" s="116"/>
      <c r="D107" s="107"/>
      <c r="E107" s="107"/>
      <c r="F107" s="107"/>
      <c r="G107" s="107"/>
      <c r="H107" s="107"/>
      <c r="I107" s="5"/>
      <c r="J107" s="8"/>
      <c r="K107" s="8"/>
    </row>
    <row r="108" spans="1:11" ht="19.5" customHeight="1" thickBot="1" x14ac:dyDescent="0.35">
      <c r="A108" s="8"/>
      <c r="B108" s="5"/>
      <c r="C108" s="155"/>
      <c r="D108" s="190" t="s">
        <v>108</v>
      </c>
      <c r="E108" s="107"/>
      <c r="F108" s="107"/>
      <c r="G108" s="107"/>
      <c r="H108" s="107"/>
      <c r="I108" s="5"/>
      <c r="J108" s="8"/>
      <c r="K108" s="8"/>
    </row>
    <row r="109" spans="1:11" ht="19.5" customHeight="1" thickTop="1" thickBot="1" x14ac:dyDescent="0.35">
      <c r="A109" s="8"/>
      <c r="B109" s="5"/>
      <c r="C109" s="120" t="s">
        <v>222</v>
      </c>
      <c r="D109" s="158" t="s">
        <v>74</v>
      </c>
      <c r="E109" s="107"/>
      <c r="F109" s="107"/>
      <c r="G109" s="107"/>
      <c r="H109" s="107"/>
      <c r="I109" s="5"/>
      <c r="J109" s="8"/>
      <c r="K109" s="8"/>
    </row>
    <row r="110" spans="1:11" ht="19.5" customHeight="1" thickTop="1" x14ac:dyDescent="0.3">
      <c r="A110" s="8"/>
      <c r="B110" s="5"/>
      <c r="C110" s="174" t="s">
        <v>109</v>
      </c>
      <c r="D110" s="95">
        <v>303156</v>
      </c>
      <c r="E110" s="107"/>
      <c r="F110" s="107"/>
      <c r="G110" s="107"/>
      <c r="H110" s="107"/>
      <c r="I110" s="5"/>
      <c r="J110" s="8"/>
      <c r="K110" s="8"/>
    </row>
    <row r="111" spans="1:11" ht="19.5" customHeight="1" thickBot="1" x14ac:dyDescent="0.35">
      <c r="A111" s="8"/>
      <c r="B111" s="5"/>
      <c r="C111" s="110" t="s">
        <v>110</v>
      </c>
      <c r="D111" s="105">
        <v>321237</v>
      </c>
      <c r="E111" s="107"/>
      <c r="F111" s="107"/>
      <c r="G111" s="107"/>
      <c r="H111" s="107"/>
      <c r="I111" s="5"/>
      <c r="J111" s="8"/>
      <c r="K111" s="8"/>
    </row>
    <row r="112" spans="1:11" ht="19.5" customHeight="1" thickTop="1" thickBot="1" x14ac:dyDescent="0.35">
      <c r="A112" s="8"/>
      <c r="B112" s="5"/>
      <c r="C112" s="191" t="s">
        <v>111</v>
      </c>
      <c r="D112" s="188">
        <v>624393</v>
      </c>
      <c r="E112" s="107"/>
      <c r="F112" s="107"/>
      <c r="G112" s="107"/>
      <c r="H112" s="107"/>
      <c r="I112" s="5"/>
      <c r="J112" s="8"/>
      <c r="K112" s="8"/>
    </row>
    <row r="113" spans="1:11" ht="19.5" customHeight="1" thickTop="1" x14ac:dyDescent="0.25">
      <c r="A113" s="8"/>
      <c r="B113" s="5"/>
      <c r="C113" s="114"/>
      <c r="D113" s="115"/>
      <c r="E113" s="107"/>
      <c r="F113" s="107"/>
      <c r="G113" s="107"/>
      <c r="H113" s="107"/>
      <c r="I113" s="5"/>
      <c r="J113" s="8"/>
      <c r="K113" s="8"/>
    </row>
    <row r="114" spans="1:11" ht="19.5" customHeight="1" x14ac:dyDescent="0.3">
      <c r="A114" s="8"/>
      <c r="B114" s="5"/>
      <c r="C114" s="116"/>
      <c r="D114" s="107"/>
      <c r="E114" s="107"/>
      <c r="F114" s="107"/>
      <c r="G114" s="107"/>
      <c r="H114" s="107"/>
      <c r="I114" s="5"/>
      <c r="J114" s="8"/>
      <c r="K114" s="8"/>
    </row>
    <row r="115" spans="1:11" ht="19.5" customHeight="1" thickBot="1" x14ac:dyDescent="0.35">
      <c r="A115" s="8"/>
      <c r="B115" s="5"/>
      <c r="C115" s="110" t="s">
        <v>222</v>
      </c>
      <c r="D115" s="256" t="s">
        <v>117</v>
      </c>
      <c r="E115" s="256"/>
      <c r="F115" s="107"/>
      <c r="G115" s="107"/>
      <c r="H115" s="107"/>
      <c r="I115" s="5"/>
      <c r="J115" s="8"/>
      <c r="K115" s="8"/>
    </row>
    <row r="116" spans="1:11" ht="19.5" customHeight="1" thickTop="1" thickBot="1" x14ac:dyDescent="0.35">
      <c r="A116" s="8"/>
      <c r="B116" s="5"/>
      <c r="C116" s="137"/>
      <c r="D116" s="158" t="s">
        <v>113</v>
      </c>
      <c r="E116" s="158" t="s">
        <v>114</v>
      </c>
      <c r="F116" s="107"/>
      <c r="G116" s="107"/>
      <c r="H116" s="107"/>
      <c r="I116" s="5"/>
      <c r="J116" s="8"/>
      <c r="K116" s="8"/>
    </row>
    <row r="117" spans="1:11" ht="19.5" customHeight="1" thickTop="1" x14ac:dyDescent="0.3">
      <c r="A117" s="8"/>
      <c r="B117" s="5"/>
      <c r="C117" s="174" t="s">
        <v>115</v>
      </c>
      <c r="D117" s="95">
        <v>8597386</v>
      </c>
      <c r="E117" s="192">
        <v>0.44800000000000001</v>
      </c>
      <c r="F117" s="107"/>
      <c r="G117" s="107"/>
      <c r="H117" s="107"/>
      <c r="I117" s="5"/>
      <c r="J117" s="8"/>
      <c r="K117" s="8"/>
    </row>
    <row r="118" spans="1:11" ht="19.5" customHeight="1" thickBot="1" x14ac:dyDescent="0.35">
      <c r="A118" s="8"/>
      <c r="B118" s="5"/>
      <c r="C118" s="127" t="s">
        <v>116</v>
      </c>
      <c r="D118" s="108">
        <v>8597386</v>
      </c>
      <c r="E118" s="130">
        <v>0.44800000000000001</v>
      </c>
      <c r="F118" s="107"/>
      <c r="G118" s="107"/>
      <c r="H118" s="107"/>
      <c r="I118" s="5"/>
      <c r="J118" s="8"/>
      <c r="K118" s="8"/>
    </row>
    <row r="119" spans="1:11" ht="19.5" customHeight="1" thickTop="1" x14ac:dyDescent="0.3">
      <c r="A119" s="8"/>
      <c r="B119" s="5"/>
      <c r="C119" s="116"/>
      <c r="D119" s="107"/>
      <c r="E119" s="107"/>
      <c r="F119" s="107"/>
      <c r="G119" s="107"/>
      <c r="H119" s="107"/>
      <c r="I119" s="5"/>
      <c r="J119" s="8"/>
      <c r="K119" s="8"/>
    </row>
    <row r="120" spans="1:11" ht="15" hidden="1" customHeight="1" x14ac:dyDescent="0.3"/>
    <row r="121" spans="1:11" ht="15" hidden="1" customHeight="1" x14ac:dyDescent="0.3"/>
    <row r="122" spans="1:11" ht="15" hidden="1" customHeight="1" x14ac:dyDescent="0.3"/>
    <row r="123" spans="1:11" ht="15" hidden="1" customHeight="1" x14ac:dyDescent="0.3"/>
    <row r="124" spans="1:11" ht="15" hidden="1" customHeight="1" x14ac:dyDescent="0.3"/>
    <row r="125" spans="1:11" ht="15" hidden="1" customHeight="1" x14ac:dyDescent="0.3"/>
    <row r="126" spans="1:11" ht="15" hidden="1" customHeight="1" x14ac:dyDescent="0.3"/>
    <row r="127" spans="1:11" ht="15" hidden="1" customHeight="1" x14ac:dyDescent="0.3">
      <c r="B127" s="7"/>
      <c r="C127" s="7"/>
      <c r="D127" s="7"/>
      <c r="E127" s="7"/>
      <c r="F127" s="7"/>
      <c r="G127" s="7"/>
      <c r="H127" s="7"/>
      <c r="I127" s="7"/>
    </row>
    <row r="128" spans="1:11" ht="15" hidden="1" customHeight="1" x14ac:dyDescent="0.3">
      <c r="B128" s="7"/>
      <c r="C128" s="7"/>
      <c r="D128" s="7"/>
      <c r="E128" s="7"/>
      <c r="F128" s="7"/>
      <c r="G128" s="7"/>
      <c r="H128" s="7"/>
      <c r="I128" s="7"/>
    </row>
    <row r="129" spans="2:9" ht="15" hidden="1" customHeight="1" x14ac:dyDescent="0.3">
      <c r="B129" s="7"/>
      <c r="C129" s="7"/>
      <c r="D129" s="7"/>
      <c r="E129" s="7"/>
      <c r="F129" s="7"/>
      <c r="G129" s="7"/>
      <c r="H129" s="7"/>
      <c r="I129" s="7"/>
    </row>
    <row r="130" spans="2:9" ht="15" hidden="1" customHeight="1" x14ac:dyDescent="0.3">
      <c r="B130" s="7"/>
      <c r="C130" s="7"/>
      <c r="D130" s="7"/>
      <c r="E130" s="7"/>
      <c r="F130" s="7"/>
      <c r="G130" s="7"/>
      <c r="H130" s="7"/>
      <c r="I130" s="7"/>
    </row>
    <row r="131" spans="2:9" ht="15" hidden="1" customHeight="1" x14ac:dyDescent="0.3">
      <c r="B131" s="7"/>
      <c r="C131" s="7"/>
      <c r="D131" s="7"/>
      <c r="E131" s="7"/>
      <c r="F131" s="7"/>
      <c r="G131" s="7"/>
      <c r="H131" s="7"/>
      <c r="I131" s="7"/>
    </row>
    <row r="132" spans="2:9" ht="15" hidden="1" customHeight="1" x14ac:dyDescent="0.3">
      <c r="B132" s="7"/>
      <c r="C132" s="7"/>
      <c r="D132" s="7"/>
      <c r="E132" s="7"/>
      <c r="F132" s="7"/>
      <c r="G132" s="7"/>
      <c r="H132" s="7"/>
      <c r="I132" s="7"/>
    </row>
    <row r="133" spans="2:9" ht="15" hidden="1" customHeight="1" x14ac:dyDescent="0.3">
      <c r="B133" s="7"/>
      <c r="C133" s="7"/>
      <c r="D133" s="7"/>
      <c r="E133" s="7"/>
      <c r="F133" s="7"/>
      <c r="G133" s="7"/>
      <c r="H133" s="7"/>
      <c r="I133" s="7"/>
    </row>
    <row r="134" spans="2:9" ht="15" hidden="1" customHeight="1" x14ac:dyDescent="0.3">
      <c r="B134" s="7"/>
      <c r="C134" s="7"/>
      <c r="D134" s="7"/>
      <c r="E134" s="7"/>
      <c r="F134" s="7"/>
      <c r="G134" s="7"/>
      <c r="H134" s="7"/>
      <c r="I134" s="7"/>
    </row>
    <row r="135" spans="2:9" ht="15" hidden="1" customHeight="1" x14ac:dyDescent="0.3">
      <c r="B135" s="7"/>
      <c r="C135" s="7"/>
      <c r="D135" s="7"/>
      <c r="E135" s="7"/>
      <c r="F135" s="7"/>
      <c r="G135" s="7"/>
      <c r="H135" s="7"/>
      <c r="I135" s="7"/>
    </row>
    <row r="136" spans="2:9" ht="15" hidden="1" customHeight="1" x14ac:dyDescent="0.3">
      <c r="B136" s="7"/>
      <c r="C136" s="7"/>
      <c r="D136" s="7"/>
      <c r="E136" s="7"/>
      <c r="F136" s="7"/>
      <c r="G136" s="7"/>
      <c r="H136" s="7"/>
      <c r="I136" s="7"/>
    </row>
    <row r="137" spans="2:9" ht="15" hidden="1" customHeight="1" x14ac:dyDescent="0.3">
      <c r="B137" s="7"/>
      <c r="C137" s="7"/>
      <c r="D137" s="7"/>
      <c r="E137" s="7"/>
      <c r="F137" s="7"/>
      <c r="G137" s="7"/>
      <c r="H137" s="7"/>
      <c r="I137" s="7"/>
    </row>
    <row r="138" spans="2:9" ht="15" hidden="1" customHeight="1" x14ac:dyDescent="0.3">
      <c r="B138" s="7"/>
      <c r="C138" s="7"/>
      <c r="D138" s="7"/>
      <c r="E138" s="7"/>
      <c r="F138" s="7"/>
      <c r="G138" s="7"/>
      <c r="H138" s="7"/>
      <c r="I138" s="7"/>
    </row>
    <row r="139" spans="2:9" ht="15" hidden="1" customHeight="1" x14ac:dyDescent="0.3">
      <c r="B139" s="7"/>
      <c r="C139" s="7"/>
      <c r="D139" s="7"/>
      <c r="E139" s="7"/>
      <c r="F139" s="7"/>
      <c r="G139" s="7"/>
      <c r="H139" s="7"/>
      <c r="I139" s="7"/>
    </row>
    <row r="140" spans="2:9" ht="15" hidden="1" customHeight="1" x14ac:dyDescent="0.3">
      <c r="B140" s="7"/>
      <c r="C140" s="7"/>
      <c r="D140" s="7"/>
      <c r="E140" s="7"/>
      <c r="F140" s="7"/>
      <c r="G140" s="7"/>
      <c r="H140" s="7"/>
      <c r="I140" s="7"/>
    </row>
    <row r="141" spans="2:9" ht="15" hidden="1" customHeight="1" x14ac:dyDescent="0.3">
      <c r="B141" s="7"/>
      <c r="C141" s="7"/>
      <c r="D141" s="7"/>
      <c r="E141" s="7"/>
      <c r="F141" s="7"/>
      <c r="G141" s="7"/>
      <c r="H141" s="7"/>
      <c r="I141" s="7"/>
    </row>
    <row r="142" spans="2:9" ht="15" hidden="1" customHeight="1" x14ac:dyDescent="0.3">
      <c r="B142" s="7"/>
      <c r="C142" s="7"/>
      <c r="D142" s="7"/>
      <c r="E142" s="7"/>
      <c r="F142" s="7"/>
      <c r="G142" s="7"/>
      <c r="H142" s="7"/>
      <c r="I142" s="7"/>
    </row>
    <row r="143" spans="2:9" ht="15" hidden="1" customHeight="1" x14ac:dyDescent="0.3"/>
    <row r="151" s="7" customFormat="1" ht="0" hidden="1" customHeight="1" x14ac:dyDescent="0.3"/>
    <row r="152" s="7" customFormat="1" ht="0" hidden="1" customHeight="1" x14ac:dyDescent="0.3"/>
    <row r="153" s="7" customFormat="1" ht="0" hidden="1" customHeight="1" x14ac:dyDescent="0.3"/>
    <row r="154" s="7" customFormat="1" ht="0" hidden="1" customHeight="1" x14ac:dyDescent="0.3"/>
    <row r="155" s="7" customFormat="1" ht="0" hidden="1" customHeight="1" x14ac:dyDescent="0.3"/>
    <row r="156" s="7" customFormat="1" ht="0" hidden="1" customHeight="1" x14ac:dyDescent="0.3"/>
  </sheetData>
  <mergeCells count="23">
    <mergeCell ref="D6:J6"/>
    <mergeCell ref="D16:H16"/>
    <mergeCell ref="C17:C18"/>
    <mergeCell ref="D17:D18"/>
    <mergeCell ref="E17:E18"/>
    <mergeCell ref="G17:G18"/>
    <mergeCell ref="H17:H18"/>
    <mergeCell ref="D25:E25"/>
    <mergeCell ref="D56:I56"/>
    <mergeCell ref="C64:E64"/>
    <mergeCell ref="C65:C66"/>
    <mergeCell ref="D65:D66"/>
    <mergeCell ref="D92:H92"/>
    <mergeCell ref="I92:J92"/>
    <mergeCell ref="C93:C94"/>
    <mergeCell ref="H93:I93"/>
    <mergeCell ref="H94:I94"/>
    <mergeCell ref="J93:J94"/>
    <mergeCell ref="H95:I95"/>
    <mergeCell ref="H96:I96"/>
    <mergeCell ref="H97:I97"/>
    <mergeCell ref="H98:I98"/>
    <mergeCell ref="D115:E11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25" orientation="landscape" r:id="rId1"/>
  <headerFooter>
    <oddHeader>&amp;L&amp;"Aptos"&amp;10&amp;K000000 ## Restrito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WVO16"/>
  <sheetViews>
    <sheetView showGridLines="0" zoomScaleNormal="100" workbookViewId="0"/>
  </sheetViews>
  <sheetFormatPr defaultColWidth="0" defaultRowHeight="0" customHeight="1" zeroHeight="1" x14ac:dyDescent="0.35"/>
  <cols>
    <col min="1" max="1" width="1.109375" style="18" customWidth="1"/>
    <col min="2" max="2" width="3.109375" style="20" bestFit="1" customWidth="1"/>
    <col min="3" max="3" width="60" style="18" customWidth="1"/>
    <col min="4" max="5" width="18.33203125" style="18" customWidth="1"/>
    <col min="6" max="6" width="1.109375" style="18" customWidth="1"/>
    <col min="7" max="256" width="9.109375" style="18" hidden="1"/>
    <col min="257" max="257" width="2.88671875" style="18" hidden="1"/>
    <col min="258" max="258" width="3.109375" style="18" hidden="1"/>
    <col min="259" max="259" width="69.33203125" style="18" hidden="1"/>
    <col min="260" max="261" width="18.33203125" style="18" hidden="1"/>
    <col min="262" max="262" width="3" style="18" hidden="1"/>
    <col min="263" max="512" width="9.109375" style="18" hidden="1"/>
    <col min="513" max="513" width="2.88671875" style="18" hidden="1"/>
    <col min="514" max="514" width="3.109375" style="18" hidden="1"/>
    <col min="515" max="515" width="69.33203125" style="18" hidden="1"/>
    <col min="516" max="517" width="18.33203125" style="18" hidden="1"/>
    <col min="518" max="518" width="3" style="18" hidden="1"/>
    <col min="519" max="768" width="9.109375" style="18" hidden="1"/>
    <col min="769" max="769" width="2.88671875" style="18" hidden="1"/>
    <col min="770" max="770" width="3.109375" style="18" hidden="1"/>
    <col min="771" max="771" width="69.33203125" style="18" hidden="1"/>
    <col min="772" max="773" width="18.33203125" style="18" hidden="1"/>
    <col min="774" max="774" width="3" style="18" hidden="1"/>
    <col min="775" max="1024" width="9.109375" style="18" hidden="1"/>
    <col min="1025" max="1025" width="2.88671875" style="18" hidden="1"/>
    <col min="1026" max="1026" width="3.109375" style="18" hidden="1"/>
    <col min="1027" max="1027" width="69.33203125" style="18" hidden="1"/>
    <col min="1028" max="1029" width="18.33203125" style="18" hidden="1"/>
    <col min="1030" max="1030" width="3" style="18" hidden="1"/>
    <col min="1031" max="1280" width="9.109375" style="18" hidden="1"/>
    <col min="1281" max="1281" width="2.88671875" style="18" hidden="1"/>
    <col min="1282" max="1282" width="3.109375" style="18" hidden="1"/>
    <col min="1283" max="1283" width="69.33203125" style="18" hidden="1"/>
    <col min="1284" max="1285" width="18.33203125" style="18" hidden="1"/>
    <col min="1286" max="1286" width="3" style="18" hidden="1"/>
    <col min="1287" max="1536" width="9.109375" style="18" hidden="1"/>
    <col min="1537" max="1537" width="2.88671875" style="18" hidden="1"/>
    <col min="1538" max="1538" width="3.109375" style="18" hidden="1"/>
    <col min="1539" max="1539" width="69.33203125" style="18" hidden="1"/>
    <col min="1540" max="1541" width="18.33203125" style="18" hidden="1"/>
    <col min="1542" max="1542" width="3" style="18" hidden="1"/>
    <col min="1543" max="1792" width="9.109375" style="18" hidden="1"/>
    <col min="1793" max="1793" width="2.88671875" style="18" hidden="1"/>
    <col min="1794" max="1794" width="3.109375" style="18" hidden="1"/>
    <col min="1795" max="1795" width="69.33203125" style="18" hidden="1"/>
    <col min="1796" max="1797" width="18.33203125" style="18" hidden="1"/>
    <col min="1798" max="1798" width="3" style="18" hidden="1"/>
    <col min="1799" max="2048" width="9.109375" style="18" hidden="1"/>
    <col min="2049" max="2049" width="2.88671875" style="18" hidden="1"/>
    <col min="2050" max="2050" width="3.109375" style="18" hidden="1"/>
    <col min="2051" max="2051" width="69.33203125" style="18" hidden="1"/>
    <col min="2052" max="2053" width="18.33203125" style="18" hidden="1"/>
    <col min="2054" max="2054" width="3" style="18" hidden="1"/>
    <col min="2055" max="2304" width="9.109375" style="18" hidden="1"/>
    <col min="2305" max="2305" width="2.88671875" style="18" hidden="1"/>
    <col min="2306" max="2306" width="3.109375" style="18" hidden="1"/>
    <col min="2307" max="2307" width="69.33203125" style="18" hidden="1"/>
    <col min="2308" max="2309" width="18.33203125" style="18" hidden="1"/>
    <col min="2310" max="2310" width="3" style="18" hidden="1"/>
    <col min="2311" max="2560" width="9.109375" style="18" hidden="1"/>
    <col min="2561" max="2561" width="2.88671875" style="18" hidden="1"/>
    <col min="2562" max="2562" width="3.109375" style="18" hidden="1"/>
    <col min="2563" max="2563" width="69.33203125" style="18" hidden="1"/>
    <col min="2564" max="2565" width="18.33203125" style="18" hidden="1"/>
    <col min="2566" max="2566" width="3" style="18" hidden="1"/>
    <col min="2567" max="2816" width="9.109375" style="18" hidden="1"/>
    <col min="2817" max="2817" width="2.88671875" style="18" hidden="1"/>
    <col min="2818" max="2818" width="3.109375" style="18" hidden="1"/>
    <col min="2819" max="2819" width="69.33203125" style="18" hidden="1"/>
    <col min="2820" max="2821" width="18.33203125" style="18" hidden="1"/>
    <col min="2822" max="2822" width="3" style="18" hidden="1"/>
    <col min="2823" max="3072" width="9.109375" style="18" hidden="1"/>
    <col min="3073" max="3073" width="2.88671875" style="18" hidden="1"/>
    <col min="3074" max="3074" width="3.109375" style="18" hidden="1"/>
    <col min="3075" max="3075" width="69.33203125" style="18" hidden="1"/>
    <col min="3076" max="3077" width="18.33203125" style="18" hidden="1"/>
    <col min="3078" max="3078" width="3" style="18" hidden="1"/>
    <col min="3079" max="3328" width="9.109375" style="18" hidden="1"/>
    <col min="3329" max="3329" width="2.88671875" style="18" hidden="1"/>
    <col min="3330" max="3330" width="3.109375" style="18" hidden="1"/>
    <col min="3331" max="3331" width="69.33203125" style="18" hidden="1"/>
    <col min="3332" max="3333" width="18.33203125" style="18" hidden="1"/>
    <col min="3334" max="3334" width="3" style="18" hidden="1"/>
    <col min="3335" max="3584" width="9.109375" style="18" hidden="1"/>
    <col min="3585" max="3585" width="2.88671875" style="18" hidden="1"/>
    <col min="3586" max="3586" width="3.109375" style="18" hidden="1"/>
    <col min="3587" max="3587" width="69.33203125" style="18" hidden="1"/>
    <col min="3588" max="3589" width="18.33203125" style="18" hidden="1"/>
    <col min="3590" max="3590" width="3" style="18" hidden="1"/>
    <col min="3591" max="3840" width="9.109375" style="18" hidden="1"/>
    <col min="3841" max="3841" width="2.88671875" style="18" hidden="1"/>
    <col min="3842" max="3842" width="3.109375" style="18" hidden="1"/>
    <col min="3843" max="3843" width="69.33203125" style="18" hidden="1"/>
    <col min="3844" max="3845" width="18.33203125" style="18" hidden="1"/>
    <col min="3846" max="3846" width="3" style="18" hidden="1"/>
    <col min="3847" max="4096" width="9.109375" style="18" hidden="1"/>
    <col min="4097" max="4097" width="2.88671875" style="18" hidden="1"/>
    <col min="4098" max="4098" width="3.109375" style="18" hidden="1"/>
    <col min="4099" max="4099" width="69.33203125" style="18" hidden="1"/>
    <col min="4100" max="4101" width="18.33203125" style="18" hidden="1"/>
    <col min="4102" max="4102" width="3" style="18" hidden="1"/>
    <col min="4103" max="4352" width="9.109375" style="18" hidden="1"/>
    <col min="4353" max="4353" width="2.88671875" style="18" hidden="1"/>
    <col min="4354" max="4354" width="3.109375" style="18" hidden="1"/>
    <col min="4355" max="4355" width="69.33203125" style="18" hidden="1"/>
    <col min="4356" max="4357" width="18.33203125" style="18" hidden="1"/>
    <col min="4358" max="4358" width="3" style="18" hidden="1"/>
    <col min="4359" max="4608" width="9.109375" style="18" hidden="1"/>
    <col min="4609" max="4609" width="2.88671875" style="18" hidden="1"/>
    <col min="4610" max="4610" width="3.109375" style="18" hidden="1"/>
    <col min="4611" max="4611" width="69.33203125" style="18" hidden="1"/>
    <col min="4612" max="4613" width="18.33203125" style="18" hidden="1"/>
    <col min="4614" max="4614" width="3" style="18" hidden="1"/>
    <col min="4615" max="4864" width="9.109375" style="18" hidden="1"/>
    <col min="4865" max="4865" width="2.88671875" style="18" hidden="1"/>
    <col min="4866" max="4866" width="3.109375" style="18" hidden="1"/>
    <col min="4867" max="4867" width="69.33203125" style="18" hidden="1"/>
    <col min="4868" max="4869" width="18.33203125" style="18" hidden="1"/>
    <col min="4870" max="4870" width="3" style="18" hidden="1"/>
    <col min="4871" max="5120" width="9.109375" style="18" hidden="1"/>
    <col min="5121" max="5121" width="2.88671875" style="18" hidden="1"/>
    <col min="5122" max="5122" width="3.109375" style="18" hidden="1"/>
    <col min="5123" max="5123" width="69.33203125" style="18" hidden="1"/>
    <col min="5124" max="5125" width="18.33203125" style="18" hidden="1"/>
    <col min="5126" max="5126" width="3" style="18" hidden="1"/>
    <col min="5127" max="5376" width="9.109375" style="18" hidden="1"/>
    <col min="5377" max="5377" width="2.88671875" style="18" hidden="1"/>
    <col min="5378" max="5378" width="3.109375" style="18" hidden="1"/>
    <col min="5379" max="5379" width="69.33203125" style="18" hidden="1"/>
    <col min="5380" max="5381" width="18.33203125" style="18" hidden="1"/>
    <col min="5382" max="5382" width="3" style="18" hidden="1"/>
    <col min="5383" max="5632" width="9.109375" style="18" hidden="1"/>
    <col min="5633" max="5633" width="2.88671875" style="18" hidden="1"/>
    <col min="5634" max="5634" width="3.109375" style="18" hidden="1"/>
    <col min="5635" max="5635" width="69.33203125" style="18" hidden="1"/>
    <col min="5636" max="5637" width="18.33203125" style="18" hidden="1"/>
    <col min="5638" max="5638" width="3" style="18" hidden="1"/>
    <col min="5639" max="5888" width="9.109375" style="18" hidden="1"/>
    <col min="5889" max="5889" width="2.88671875" style="18" hidden="1"/>
    <col min="5890" max="5890" width="3.109375" style="18" hidden="1"/>
    <col min="5891" max="5891" width="69.33203125" style="18" hidden="1"/>
    <col min="5892" max="5893" width="18.33203125" style="18" hidden="1"/>
    <col min="5894" max="5894" width="3" style="18" hidden="1"/>
    <col min="5895" max="6144" width="9.109375" style="18" hidden="1"/>
    <col min="6145" max="6145" width="2.88671875" style="18" hidden="1"/>
    <col min="6146" max="6146" width="3.109375" style="18" hidden="1"/>
    <col min="6147" max="6147" width="69.33203125" style="18" hidden="1"/>
    <col min="6148" max="6149" width="18.33203125" style="18" hidden="1"/>
    <col min="6150" max="6150" width="3" style="18" hidden="1"/>
    <col min="6151" max="6400" width="9.109375" style="18" hidden="1"/>
    <col min="6401" max="6401" width="2.88671875" style="18" hidden="1"/>
    <col min="6402" max="6402" width="3.109375" style="18" hidden="1"/>
    <col min="6403" max="6403" width="69.33203125" style="18" hidden="1"/>
    <col min="6404" max="6405" width="18.33203125" style="18" hidden="1"/>
    <col min="6406" max="6406" width="3" style="18" hidden="1"/>
    <col min="6407" max="6656" width="9.109375" style="18" hidden="1"/>
    <col min="6657" max="6657" width="2.88671875" style="18" hidden="1"/>
    <col min="6658" max="6658" width="3.109375" style="18" hidden="1"/>
    <col min="6659" max="6659" width="69.33203125" style="18" hidden="1"/>
    <col min="6660" max="6661" width="18.33203125" style="18" hidden="1"/>
    <col min="6662" max="6662" width="3" style="18" hidden="1"/>
    <col min="6663" max="6912" width="9.109375" style="18" hidden="1"/>
    <col min="6913" max="6913" width="2.88671875" style="18" hidden="1"/>
    <col min="6914" max="6914" width="3.109375" style="18" hidden="1"/>
    <col min="6915" max="6915" width="69.33203125" style="18" hidden="1"/>
    <col min="6916" max="6917" width="18.33203125" style="18" hidden="1"/>
    <col min="6918" max="6918" width="3" style="18" hidden="1"/>
    <col min="6919" max="7168" width="9.109375" style="18" hidden="1"/>
    <col min="7169" max="7169" width="2.88671875" style="18" hidden="1"/>
    <col min="7170" max="7170" width="3.109375" style="18" hidden="1"/>
    <col min="7171" max="7171" width="69.33203125" style="18" hidden="1"/>
    <col min="7172" max="7173" width="18.33203125" style="18" hidden="1"/>
    <col min="7174" max="7174" width="3" style="18" hidden="1"/>
    <col min="7175" max="7424" width="9.109375" style="18" hidden="1"/>
    <col min="7425" max="7425" width="2.88671875" style="18" hidden="1"/>
    <col min="7426" max="7426" width="3.109375" style="18" hidden="1"/>
    <col min="7427" max="7427" width="69.33203125" style="18" hidden="1"/>
    <col min="7428" max="7429" width="18.33203125" style="18" hidden="1"/>
    <col min="7430" max="7430" width="3" style="18" hidden="1"/>
    <col min="7431" max="7680" width="9.109375" style="18" hidden="1"/>
    <col min="7681" max="7681" width="2.88671875" style="18" hidden="1"/>
    <col min="7682" max="7682" width="3.109375" style="18" hidden="1"/>
    <col min="7683" max="7683" width="69.33203125" style="18" hidden="1"/>
    <col min="7684" max="7685" width="18.33203125" style="18" hidden="1"/>
    <col min="7686" max="7686" width="3" style="18" hidden="1"/>
    <col min="7687" max="7936" width="9.109375" style="18" hidden="1"/>
    <col min="7937" max="7937" width="2.88671875" style="18" hidden="1"/>
    <col min="7938" max="7938" width="3.109375" style="18" hidden="1"/>
    <col min="7939" max="7939" width="69.33203125" style="18" hidden="1"/>
    <col min="7940" max="7941" width="18.33203125" style="18" hidden="1"/>
    <col min="7942" max="7942" width="3" style="18" hidden="1"/>
    <col min="7943" max="8192" width="9.109375" style="18" hidden="1"/>
    <col min="8193" max="8193" width="2.88671875" style="18" hidden="1"/>
    <col min="8194" max="8194" width="3.109375" style="18" hidden="1"/>
    <col min="8195" max="8195" width="69.33203125" style="18" hidden="1"/>
    <col min="8196" max="8197" width="18.33203125" style="18" hidden="1"/>
    <col min="8198" max="8198" width="3" style="18" hidden="1"/>
    <col min="8199" max="8448" width="9.109375" style="18" hidden="1"/>
    <col min="8449" max="8449" width="2.88671875" style="18" hidden="1"/>
    <col min="8450" max="8450" width="3.109375" style="18" hidden="1"/>
    <col min="8451" max="8451" width="69.33203125" style="18" hidden="1"/>
    <col min="8452" max="8453" width="18.33203125" style="18" hidden="1"/>
    <col min="8454" max="8454" width="3" style="18" hidden="1"/>
    <col min="8455" max="8704" width="9.109375" style="18" hidden="1"/>
    <col min="8705" max="8705" width="2.88671875" style="18" hidden="1"/>
    <col min="8706" max="8706" width="3.109375" style="18" hidden="1"/>
    <col min="8707" max="8707" width="69.33203125" style="18" hidden="1"/>
    <col min="8708" max="8709" width="18.33203125" style="18" hidden="1"/>
    <col min="8710" max="8710" width="3" style="18" hidden="1"/>
    <col min="8711" max="8960" width="9.109375" style="18" hidden="1"/>
    <col min="8961" max="8961" width="2.88671875" style="18" hidden="1"/>
    <col min="8962" max="8962" width="3.109375" style="18" hidden="1"/>
    <col min="8963" max="8963" width="69.33203125" style="18" hidden="1"/>
    <col min="8964" max="8965" width="18.33203125" style="18" hidden="1"/>
    <col min="8966" max="8966" width="3" style="18" hidden="1"/>
    <col min="8967" max="9216" width="9.109375" style="18" hidden="1"/>
    <col min="9217" max="9217" width="2.88671875" style="18" hidden="1"/>
    <col min="9218" max="9218" width="3.109375" style="18" hidden="1"/>
    <col min="9219" max="9219" width="69.33203125" style="18" hidden="1"/>
    <col min="9220" max="9221" width="18.33203125" style="18" hidden="1"/>
    <col min="9222" max="9222" width="3" style="18" hidden="1"/>
    <col min="9223" max="9472" width="9.109375" style="18" hidden="1"/>
    <col min="9473" max="9473" width="2.88671875" style="18" hidden="1"/>
    <col min="9474" max="9474" width="3.109375" style="18" hidden="1"/>
    <col min="9475" max="9475" width="69.33203125" style="18" hidden="1"/>
    <col min="9476" max="9477" width="18.33203125" style="18" hidden="1"/>
    <col min="9478" max="9478" width="3" style="18" hidden="1"/>
    <col min="9479" max="9728" width="9.109375" style="18" hidden="1"/>
    <col min="9729" max="9729" width="2.88671875" style="18" hidden="1"/>
    <col min="9730" max="9730" width="3.109375" style="18" hidden="1"/>
    <col min="9731" max="9731" width="69.33203125" style="18" hidden="1"/>
    <col min="9732" max="9733" width="18.33203125" style="18" hidden="1"/>
    <col min="9734" max="9734" width="3" style="18" hidden="1"/>
    <col min="9735" max="9984" width="9.109375" style="18" hidden="1"/>
    <col min="9985" max="9985" width="2.88671875" style="18" hidden="1"/>
    <col min="9986" max="9986" width="3.109375" style="18" hidden="1"/>
    <col min="9987" max="9987" width="69.33203125" style="18" hidden="1"/>
    <col min="9988" max="9989" width="18.33203125" style="18" hidden="1"/>
    <col min="9990" max="9990" width="3" style="18" hidden="1"/>
    <col min="9991" max="10240" width="9.109375" style="18" hidden="1"/>
    <col min="10241" max="10241" width="2.88671875" style="18" hidden="1"/>
    <col min="10242" max="10242" width="3.109375" style="18" hidden="1"/>
    <col min="10243" max="10243" width="69.33203125" style="18" hidden="1"/>
    <col min="10244" max="10245" width="18.33203125" style="18" hidden="1"/>
    <col min="10246" max="10246" width="3" style="18" hidden="1"/>
    <col min="10247" max="10496" width="9.109375" style="18" hidden="1"/>
    <col min="10497" max="10497" width="2.88671875" style="18" hidden="1"/>
    <col min="10498" max="10498" width="3.109375" style="18" hidden="1"/>
    <col min="10499" max="10499" width="69.33203125" style="18" hidden="1"/>
    <col min="10500" max="10501" width="18.33203125" style="18" hidden="1"/>
    <col min="10502" max="10502" width="3" style="18" hidden="1"/>
    <col min="10503" max="10752" width="9.109375" style="18" hidden="1"/>
    <col min="10753" max="10753" width="2.88671875" style="18" hidden="1"/>
    <col min="10754" max="10754" width="3.109375" style="18" hidden="1"/>
    <col min="10755" max="10755" width="69.33203125" style="18" hidden="1"/>
    <col min="10756" max="10757" width="18.33203125" style="18" hidden="1"/>
    <col min="10758" max="10758" width="3" style="18" hidden="1"/>
    <col min="10759" max="11008" width="9.109375" style="18" hidden="1"/>
    <col min="11009" max="11009" width="2.88671875" style="18" hidden="1"/>
    <col min="11010" max="11010" width="3.109375" style="18" hidden="1"/>
    <col min="11011" max="11011" width="69.33203125" style="18" hidden="1"/>
    <col min="11012" max="11013" width="18.33203125" style="18" hidden="1"/>
    <col min="11014" max="11014" width="3" style="18" hidden="1"/>
    <col min="11015" max="11264" width="9.109375" style="18" hidden="1"/>
    <col min="11265" max="11265" width="2.88671875" style="18" hidden="1"/>
    <col min="11266" max="11266" width="3.109375" style="18" hidden="1"/>
    <col min="11267" max="11267" width="69.33203125" style="18" hidden="1"/>
    <col min="11268" max="11269" width="18.33203125" style="18" hidden="1"/>
    <col min="11270" max="11270" width="3" style="18" hidden="1"/>
    <col min="11271" max="11520" width="9.109375" style="18" hidden="1"/>
    <col min="11521" max="11521" width="2.88671875" style="18" hidden="1"/>
    <col min="11522" max="11522" width="3.109375" style="18" hidden="1"/>
    <col min="11523" max="11523" width="69.33203125" style="18" hidden="1"/>
    <col min="11524" max="11525" width="18.33203125" style="18" hidden="1"/>
    <col min="11526" max="11526" width="3" style="18" hidden="1"/>
    <col min="11527" max="11776" width="9.109375" style="18" hidden="1"/>
    <col min="11777" max="11777" width="2.88671875" style="18" hidden="1"/>
    <col min="11778" max="11778" width="3.109375" style="18" hidden="1"/>
    <col min="11779" max="11779" width="69.33203125" style="18" hidden="1"/>
    <col min="11780" max="11781" width="18.33203125" style="18" hidden="1"/>
    <col min="11782" max="11782" width="3" style="18" hidden="1"/>
    <col min="11783" max="12032" width="9.109375" style="18" hidden="1"/>
    <col min="12033" max="12033" width="2.88671875" style="18" hidden="1"/>
    <col min="12034" max="12034" width="3.109375" style="18" hidden="1"/>
    <col min="12035" max="12035" width="69.33203125" style="18" hidden="1"/>
    <col min="12036" max="12037" width="18.33203125" style="18" hidden="1"/>
    <col min="12038" max="12038" width="3" style="18" hidden="1"/>
    <col min="12039" max="12288" width="9.109375" style="18" hidden="1"/>
    <col min="12289" max="12289" width="2.88671875" style="18" hidden="1"/>
    <col min="12290" max="12290" width="3.109375" style="18" hidden="1"/>
    <col min="12291" max="12291" width="69.33203125" style="18" hidden="1"/>
    <col min="12292" max="12293" width="18.33203125" style="18" hidden="1"/>
    <col min="12294" max="12294" width="3" style="18" hidden="1"/>
    <col min="12295" max="12544" width="9.109375" style="18" hidden="1"/>
    <col min="12545" max="12545" width="2.88671875" style="18" hidden="1"/>
    <col min="12546" max="12546" width="3.109375" style="18" hidden="1"/>
    <col min="12547" max="12547" width="69.33203125" style="18" hidden="1"/>
    <col min="12548" max="12549" width="18.33203125" style="18" hidden="1"/>
    <col min="12550" max="12550" width="3" style="18" hidden="1"/>
    <col min="12551" max="12800" width="9.109375" style="18" hidden="1"/>
    <col min="12801" max="12801" width="2.88671875" style="18" hidden="1"/>
    <col min="12802" max="12802" width="3.109375" style="18" hidden="1"/>
    <col min="12803" max="12803" width="69.33203125" style="18" hidden="1"/>
    <col min="12804" max="12805" width="18.33203125" style="18" hidden="1"/>
    <col min="12806" max="12806" width="3" style="18" hidden="1"/>
    <col min="12807" max="13056" width="9.109375" style="18" hidden="1"/>
    <col min="13057" max="13057" width="2.88671875" style="18" hidden="1"/>
    <col min="13058" max="13058" width="3.109375" style="18" hidden="1"/>
    <col min="13059" max="13059" width="69.33203125" style="18" hidden="1"/>
    <col min="13060" max="13061" width="18.33203125" style="18" hidden="1"/>
    <col min="13062" max="13062" width="3" style="18" hidden="1"/>
    <col min="13063" max="13312" width="9.109375" style="18" hidden="1"/>
    <col min="13313" max="13313" width="2.88671875" style="18" hidden="1"/>
    <col min="13314" max="13314" width="3.109375" style="18" hidden="1"/>
    <col min="13315" max="13315" width="69.33203125" style="18" hidden="1"/>
    <col min="13316" max="13317" width="18.33203125" style="18" hidden="1"/>
    <col min="13318" max="13318" width="3" style="18" hidden="1"/>
    <col min="13319" max="13568" width="9.109375" style="18" hidden="1"/>
    <col min="13569" max="13569" width="2.88671875" style="18" hidden="1"/>
    <col min="13570" max="13570" width="3.109375" style="18" hidden="1"/>
    <col min="13571" max="13571" width="69.33203125" style="18" hidden="1"/>
    <col min="13572" max="13573" width="18.33203125" style="18" hidden="1"/>
    <col min="13574" max="13574" width="3" style="18" hidden="1"/>
    <col min="13575" max="13824" width="9.109375" style="18" hidden="1"/>
    <col min="13825" max="13825" width="2.88671875" style="18" hidden="1"/>
    <col min="13826" max="13826" width="3.109375" style="18" hidden="1"/>
    <col min="13827" max="13827" width="69.33203125" style="18" hidden="1"/>
    <col min="13828" max="13829" width="18.33203125" style="18" hidden="1"/>
    <col min="13830" max="13830" width="3" style="18" hidden="1"/>
    <col min="13831" max="14080" width="9.109375" style="18" hidden="1"/>
    <col min="14081" max="14081" width="2.88671875" style="18" hidden="1"/>
    <col min="14082" max="14082" width="3.109375" style="18" hidden="1"/>
    <col min="14083" max="14083" width="69.33203125" style="18" hidden="1"/>
    <col min="14084" max="14085" width="18.33203125" style="18" hidden="1"/>
    <col min="14086" max="14086" width="3" style="18" hidden="1"/>
    <col min="14087" max="14336" width="9.109375" style="18" hidden="1"/>
    <col min="14337" max="14337" width="2.88671875" style="18" hidden="1"/>
    <col min="14338" max="14338" width="3.109375" style="18" hidden="1"/>
    <col min="14339" max="14339" width="69.33203125" style="18" hidden="1"/>
    <col min="14340" max="14341" width="18.33203125" style="18" hidden="1"/>
    <col min="14342" max="14342" width="3" style="18" hidden="1"/>
    <col min="14343" max="14592" width="9.109375" style="18" hidden="1"/>
    <col min="14593" max="14593" width="2.88671875" style="18" hidden="1"/>
    <col min="14594" max="14594" width="3.109375" style="18" hidden="1"/>
    <col min="14595" max="14595" width="69.33203125" style="18" hidden="1"/>
    <col min="14596" max="14597" width="18.33203125" style="18" hidden="1"/>
    <col min="14598" max="14598" width="3" style="18" hidden="1"/>
    <col min="14599" max="14848" width="9.109375" style="18" hidden="1"/>
    <col min="14849" max="14849" width="2.88671875" style="18" hidden="1"/>
    <col min="14850" max="14850" width="3.109375" style="18" hidden="1"/>
    <col min="14851" max="14851" width="69.33203125" style="18" hidden="1"/>
    <col min="14852" max="14853" width="18.33203125" style="18" hidden="1"/>
    <col min="14854" max="14854" width="3" style="18" hidden="1"/>
    <col min="14855" max="15104" width="9.109375" style="18" hidden="1"/>
    <col min="15105" max="15105" width="2.88671875" style="18" hidden="1"/>
    <col min="15106" max="15106" width="3.109375" style="18" hidden="1"/>
    <col min="15107" max="15107" width="69.33203125" style="18" hidden="1"/>
    <col min="15108" max="15109" width="18.33203125" style="18" hidden="1"/>
    <col min="15110" max="15110" width="3" style="18" hidden="1"/>
    <col min="15111" max="15360" width="9.109375" style="18" hidden="1"/>
    <col min="15361" max="15361" width="2.88671875" style="18" hidden="1"/>
    <col min="15362" max="15362" width="3.109375" style="18" hidden="1"/>
    <col min="15363" max="15363" width="69.33203125" style="18" hidden="1"/>
    <col min="15364" max="15365" width="18.33203125" style="18" hidden="1"/>
    <col min="15366" max="15366" width="3" style="18" hidden="1"/>
    <col min="15367" max="15616" width="9.109375" style="18" hidden="1"/>
    <col min="15617" max="15617" width="2.88671875" style="18" hidden="1"/>
    <col min="15618" max="15618" width="3.109375" style="18" hidden="1"/>
    <col min="15619" max="15619" width="69.33203125" style="18" hidden="1"/>
    <col min="15620" max="15621" width="18.33203125" style="18" hidden="1"/>
    <col min="15622" max="15622" width="3" style="18" hidden="1"/>
    <col min="15623" max="15872" width="9.109375" style="18" hidden="1"/>
    <col min="15873" max="15873" width="2.88671875" style="18" hidden="1"/>
    <col min="15874" max="15874" width="3.109375" style="18" hidden="1"/>
    <col min="15875" max="15875" width="69.33203125" style="18" hidden="1"/>
    <col min="15876" max="15877" width="18.33203125" style="18" hidden="1"/>
    <col min="15878" max="15878" width="3" style="18" hidden="1"/>
    <col min="15879" max="16128" width="9.109375" style="18" hidden="1"/>
    <col min="16129" max="16129" width="2.88671875" style="18" hidden="1"/>
    <col min="16130" max="16130" width="3.109375" style="18" hidden="1"/>
    <col min="16131" max="16131" width="69.33203125" style="18" hidden="1"/>
    <col min="16132" max="16133" width="18.33203125" style="18" hidden="1"/>
    <col min="16134" max="16135" width="3" style="18" hidden="1"/>
    <col min="16136" max="16384" width="9.109375" style="18" hidden="1"/>
  </cols>
  <sheetData>
    <row r="1" spans="1:6" ht="15" x14ac:dyDescent="0.35">
      <c r="A1" s="24"/>
      <c r="B1" s="26"/>
      <c r="C1" s="24"/>
      <c r="D1" s="24"/>
      <c r="E1" s="24"/>
      <c r="F1" s="24"/>
    </row>
    <row r="2" spans="1:6" ht="15" x14ac:dyDescent="0.35">
      <c r="A2" s="24"/>
      <c r="B2" s="25"/>
      <c r="C2" s="24"/>
      <c r="D2" s="24"/>
      <c r="E2" s="24"/>
      <c r="F2" s="24"/>
    </row>
    <row r="3" spans="1:6" s="19" customFormat="1" ht="15" x14ac:dyDescent="0.35">
      <c r="A3" s="84"/>
      <c r="B3" s="25"/>
      <c r="C3" s="27"/>
      <c r="D3" s="28"/>
      <c r="E3" s="28"/>
      <c r="F3" s="84"/>
    </row>
    <row r="4" spans="1:6" s="19" customFormat="1" ht="24" customHeight="1" x14ac:dyDescent="0.35">
      <c r="A4" s="84"/>
      <c r="B4" s="27"/>
      <c r="C4" s="27"/>
      <c r="D4" s="261" t="s">
        <v>118</v>
      </c>
      <c r="E4" s="261"/>
      <c r="F4" s="84"/>
    </row>
    <row r="5" spans="1:6" ht="27" customHeight="1" x14ac:dyDescent="0.35">
      <c r="A5" s="24"/>
      <c r="B5" s="32"/>
      <c r="C5" s="193" t="s">
        <v>222</v>
      </c>
      <c r="D5" s="65">
        <v>46022</v>
      </c>
      <c r="E5" s="65">
        <v>45930</v>
      </c>
      <c r="F5" s="24"/>
    </row>
    <row r="6" spans="1:6" ht="22.5" customHeight="1" x14ac:dyDescent="0.35">
      <c r="A6" s="24"/>
      <c r="B6" s="35">
        <v>1</v>
      </c>
      <c r="C6" s="36" t="s">
        <v>119</v>
      </c>
      <c r="D6" s="37">
        <v>0</v>
      </c>
      <c r="E6" s="37">
        <v>0</v>
      </c>
      <c r="F6" s="24"/>
    </row>
    <row r="7" spans="1:6" ht="17.25" customHeight="1" x14ac:dyDescent="0.35">
      <c r="A7" s="24"/>
      <c r="B7" s="29" t="s">
        <v>25</v>
      </c>
      <c r="C7" s="30" t="s">
        <v>120</v>
      </c>
      <c r="D7" s="31">
        <v>0</v>
      </c>
      <c r="E7" s="31">
        <v>0</v>
      </c>
      <c r="F7" s="24"/>
    </row>
    <row r="8" spans="1:6" ht="17.25" customHeight="1" x14ac:dyDescent="0.35">
      <c r="A8" s="24"/>
      <c r="B8" s="29" t="s">
        <v>121</v>
      </c>
      <c r="C8" s="30" t="s">
        <v>122</v>
      </c>
      <c r="D8" s="31">
        <v>0</v>
      </c>
      <c r="E8" s="31">
        <v>0</v>
      </c>
      <c r="F8" s="24"/>
    </row>
    <row r="9" spans="1:6" ht="17.25" customHeight="1" x14ac:dyDescent="0.35">
      <c r="A9" s="24"/>
      <c r="B9" s="29" t="s">
        <v>123</v>
      </c>
      <c r="C9" s="30" t="s">
        <v>124</v>
      </c>
      <c r="D9" s="31">
        <v>0</v>
      </c>
      <c r="E9" s="31">
        <v>0</v>
      </c>
      <c r="F9" s="24"/>
    </row>
    <row r="10" spans="1:6" ht="17.25" customHeight="1" x14ac:dyDescent="0.35">
      <c r="A10" s="24"/>
      <c r="B10" s="29" t="s">
        <v>125</v>
      </c>
      <c r="C10" s="30" t="s">
        <v>126</v>
      </c>
      <c r="D10" s="31">
        <v>0</v>
      </c>
      <c r="E10" s="31">
        <v>0</v>
      </c>
      <c r="F10" s="24"/>
    </row>
    <row r="11" spans="1:6" ht="22.5" customHeight="1" x14ac:dyDescent="0.35">
      <c r="A11" s="24"/>
      <c r="B11" s="35">
        <v>2</v>
      </c>
      <c r="C11" s="36" t="s">
        <v>127</v>
      </c>
      <c r="D11" s="37">
        <v>0</v>
      </c>
      <c r="E11" s="37">
        <v>0</v>
      </c>
      <c r="F11" s="24"/>
    </row>
    <row r="12" spans="1:6" ht="22.5" customHeight="1" x14ac:dyDescent="0.35">
      <c r="A12" s="24"/>
      <c r="B12" s="35">
        <v>3</v>
      </c>
      <c r="C12" s="36" t="s">
        <v>128</v>
      </c>
      <c r="D12" s="37">
        <v>0</v>
      </c>
      <c r="E12" s="37">
        <v>0</v>
      </c>
      <c r="F12" s="24"/>
    </row>
    <row r="13" spans="1:6" ht="22.5" customHeight="1" x14ac:dyDescent="0.35">
      <c r="A13" s="24"/>
      <c r="B13" s="35">
        <v>4</v>
      </c>
      <c r="C13" s="36" t="s">
        <v>129</v>
      </c>
      <c r="D13" s="37">
        <v>0</v>
      </c>
      <c r="E13" s="37">
        <v>0</v>
      </c>
      <c r="F13" s="24"/>
    </row>
    <row r="14" spans="1:6" ht="22.5" customHeight="1" x14ac:dyDescent="0.35">
      <c r="A14" s="24"/>
      <c r="B14" s="35">
        <v>5</v>
      </c>
      <c r="C14" s="36" t="s">
        <v>130</v>
      </c>
      <c r="D14" s="37"/>
      <c r="E14" s="37"/>
      <c r="F14" s="24"/>
    </row>
    <row r="15" spans="1:6" ht="22.5" customHeight="1" x14ac:dyDescent="0.35">
      <c r="A15" s="24"/>
      <c r="B15" s="35">
        <v>6</v>
      </c>
      <c r="C15" s="36" t="s">
        <v>131</v>
      </c>
      <c r="D15" s="37"/>
      <c r="E15" s="37"/>
      <c r="F15" s="24"/>
    </row>
    <row r="16" spans="1:6" ht="22.5" customHeight="1" x14ac:dyDescent="0.35">
      <c r="A16" s="24"/>
      <c r="B16" s="85">
        <v>9</v>
      </c>
      <c r="C16" s="86" t="s">
        <v>74</v>
      </c>
      <c r="D16" s="87">
        <f>+SUM(D6:D13)-D6</f>
        <v>0</v>
      </c>
      <c r="E16" s="87">
        <f>+SUM(E6:E13)-E6</f>
        <v>0</v>
      </c>
      <c r="F16" s="24"/>
    </row>
  </sheetData>
  <mergeCells count="1"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</headerFooter>
  <ignoredErrors>
    <ignoredError sqref="D16:E16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5"/>
  <sheetViews>
    <sheetView showGridLines="0" zoomScaleNormal="100" workbookViewId="0">
      <selection activeCell="C6" sqref="C6"/>
    </sheetView>
  </sheetViews>
  <sheetFormatPr defaultColWidth="0" defaultRowHeight="16.5" customHeight="1" zeroHeight="1" x14ac:dyDescent="0.3"/>
  <cols>
    <col min="1" max="1" width="1.109375" style="22" customWidth="1"/>
    <col min="2" max="2" width="3.5546875" style="21" customWidth="1"/>
    <col min="3" max="3" width="44" style="22" customWidth="1"/>
    <col min="4" max="7" width="13.44140625" style="22" customWidth="1"/>
    <col min="8" max="8" width="1.109375" style="22" customWidth="1"/>
    <col min="9" max="256" width="9.109375" style="22" hidden="1"/>
    <col min="257" max="257" width="2.88671875" style="22" hidden="1"/>
    <col min="258" max="258" width="3.5546875" style="22" hidden="1"/>
    <col min="259" max="259" width="36.5546875" style="22" hidden="1"/>
    <col min="260" max="263" width="14.44140625" style="22" hidden="1"/>
    <col min="264" max="264" width="2.88671875" style="22" hidden="1"/>
    <col min="265" max="512" width="9.109375" style="22" hidden="1"/>
    <col min="513" max="513" width="2.88671875" style="22" hidden="1"/>
    <col min="514" max="514" width="3.5546875" style="22" hidden="1"/>
    <col min="515" max="515" width="36.5546875" style="22" hidden="1"/>
    <col min="516" max="519" width="14.44140625" style="22" hidden="1"/>
    <col min="520" max="520" width="2.88671875" style="22" hidden="1"/>
    <col min="521" max="768" width="9.109375" style="22" hidden="1"/>
    <col min="769" max="769" width="2.88671875" style="22" hidden="1"/>
    <col min="770" max="770" width="3.5546875" style="22" hidden="1"/>
    <col min="771" max="771" width="36.5546875" style="22" hidden="1"/>
    <col min="772" max="775" width="14.44140625" style="22" hidden="1"/>
    <col min="776" max="776" width="2.88671875" style="22" hidden="1"/>
    <col min="777" max="1024" width="9.109375" style="22" hidden="1"/>
    <col min="1025" max="1025" width="2.88671875" style="22" hidden="1"/>
    <col min="1026" max="1026" width="3.5546875" style="22" hidden="1"/>
    <col min="1027" max="1027" width="36.5546875" style="22" hidden="1"/>
    <col min="1028" max="1031" width="14.44140625" style="22" hidden="1"/>
    <col min="1032" max="1032" width="2.88671875" style="22" hidden="1"/>
    <col min="1033" max="1280" width="9.109375" style="22" hidden="1"/>
    <col min="1281" max="1281" width="2.88671875" style="22" hidden="1"/>
    <col min="1282" max="1282" width="3.5546875" style="22" hidden="1"/>
    <col min="1283" max="1283" width="36.5546875" style="22" hidden="1"/>
    <col min="1284" max="1287" width="14.44140625" style="22" hidden="1"/>
    <col min="1288" max="1288" width="2.88671875" style="22" hidden="1"/>
    <col min="1289" max="1536" width="9.109375" style="22" hidden="1"/>
    <col min="1537" max="1537" width="2.88671875" style="22" hidden="1"/>
    <col min="1538" max="1538" width="3.5546875" style="22" hidden="1"/>
    <col min="1539" max="1539" width="36.5546875" style="22" hidden="1"/>
    <col min="1540" max="1543" width="14.44140625" style="22" hidden="1"/>
    <col min="1544" max="1544" width="2.88671875" style="22" hidden="1"/>
    <col min="1545" max="1792" width="9.109375" style="22" hidden="1"/>
    <col min="1793" max="1793" width="2.88671875" style="22" hidden="1"/>
    <col min="1794" max="1794" width="3.5546875" style="22" hidden="1"/>
    <col min="1795" max="1795" width="36.5546875" style="22" hidden="1"/>
    <col min="1796" max="1799" width="14.44140625" style="22" hidden="1"/>
    <col min="1800" max="1800" width="2.88671875" style="22" hidden="1"/>
    <col min="1801" max="2048" width="9.109375" style="22" hidden="1"/>
    <col min="2049" max="2049" width="2.88671875" style="22" hidden="1"/>
    <col min="2050" max="2050" width="3.5546875" style="22" hidden="1"/>
    <col min="2051" max="2051" width="36.5546875" style="22" hidden="1"/>
    <col min="2052" max="2055" width="14.44140625" style="22" hidden="1"/>
    <col min="2056" max="2056" width="2.88671875" style="22" hidden="1"/>
    <col min="2057" max="2304" width="9.109375" style="22" hidden="1"/>
    <col min="2305" max="2305" width="2.88671875" style="22" hidden="1"/>
    <col min="2306" max="2306" width="3.5546875" style="22" hidden="1"/>
    <col min="2307" max="2307" width="36.5546875" style="22" hidden="1"/>
    <col min="2308" max="2311" width="14.44140625" style="22" hidden="1"/>
    <col min="2312" max="2312" width="2.88671875" style="22" hidden="1"/>
    <col min="2313" max="2560" width="9.109375" style="22" hidden="1"/>
    <col min="2561" max="2561" width="2.88671875" style="22" hidden="1"/>
    <col min="2562" max="2562" width="3.5546875" style="22" hidden="1"/>
    <col min="2563" max="2563" width="36.5546875" style="22" hidden="1"/>
    <col min="2564" max="2567" width="14.44140625" style="22" hidden="1"/>
    <col min="2568" max="2568" width="2.88671875" style="22" hidden="1"/>
    <col min="2569" max="2816" width="9.109375" style="22" hidden="1"/>
    <col min="2817" max="2817" width="2.88671875" style="22" hidden="1"/>
    <col min="2818" max="2818" width="3.5546875" style="22" hidden="1"/>
    <col min="2819" max="2819" width="36.5546875" style="22" hidden="1"/>
    <col min="2820" max="2823" width="14.44140625" style="22" hidden="1"/>
    <col min="2824" max="2824" width="2.88671875" style="22" hidden="1"/>
    <col min="2825" max="3072" width="9.109375" style="22" hidden="1"/>
    <col min="3073" max="3073" width="2.88671875" style="22" hidden="1"/>
    <col min="3074" max="3074" width="3.5546875" style="22" hidden="1"/>
    <col min="3075" max="3075" width="36.5546875" style="22" hidden="1"/>
    <col min="3076" max="3079" width="14.44140625" style="22" hidden="1"/>
    <col min="3080" max="3080" width="2.88671875" style="22" hidden="1"/>
    <col min="3081" max="3328" width="9.109375" style="22" hidden="1"/>
    <col min="3329" max="3329" width="2.88671875" style="22" hidden="1"/>
    <col min="3330" max="3330" width="3.5546875" style="22" hidden="1"/>
    <col min="3331" max="3331" width="36.5546875" style="22" hidden="1"/>
    <col min="3332" max="3335" width="14.44140625" style="22" hidden="1"/>
    <col min="3336" max="3336" width="2.88671875" style="22" hidden="1"/>
    <col min="3337" max="3584" width="9.109375" style="22" hidden="1"/>
    <col min="3585" max="3585" width="2.88671875" style="22" hidden="1"/>
    <col min="3586" max="3586" width="3.5546875" style="22" hidden="1"/>
    <col min="3587" max="3587" width="36.5546875" style="22" hidden="1"/>
    <col min="3588" max="3591" width="14.44140625" style="22" hidden="1"/>
    <col min="3592" max="3592" width="2.88671875" style="22" hidden="1"/>
    <col min="3593" max="3840" width="9.109375" style="22" hidden="1"/>
    <col min="3841" max="3841" width="2.88671875" style="22" hidden="1"/>
    <col min="3842" max="3842" width="3.5546875" style="22" hidden="1"/>
    <col min="3843" max="3843" width="36.5546875" style="22" hidden="1"/>
    <col min="3844" max="3847" width="14.44140625" style="22" hidden="1"/>
    <col min="3848" max="3848" width="2.88671875" style="22" hidden="1"/>
    <col min="3849" max="4096" width="9.109375" style="22" hidden="1"/>
    <col min="4097" max="4097" width="2.88671875" style="22" hidden="1"/>
    <col min="4098" max="4098" width="3.5546875" style="22" hidden="1"/>
    <col min="4099" max="4099" width="36.5546875" style="22" hidden="1"/>
    <col min="4100" max="4103" width="14.44140625" style="22" hidden="1"/>
    <col min="4104" max="4104" width="2.88671875" style="22" hidden="1"/>
    <col min="4105" max="4352" width="9.109375" style="22" hidden="1"/>
    <col min="4353" max="4353" width="2.88671875" style="22" hidden="1"/>
    <col min="4354" max="4354" width="3.5546875" style="22" hidden="1"/>
    <col min="4355" max="4355" width="36.5546875" style="22" hidden="1"/>
    <col min="4356" max="4359" width="14.44140625" style="22" hidden="1"/>
    <col min="4360" max="4360" width="2.88671875" style="22" hidden="1"/>
    <col min="4361" max="4608" width="9.109375" style="22" hidden="1"/>
    <col min="4609" max="4609" width="2.88671875" style="22" hidden="1"/>
    <col min="4610" max="4610" width="3.5546875" style="22" hidden="1"/>
    <col min="4611" max="4611" width="36.5546875" style="22" hidden="1"/>
    <col min="4612" max="4615" width="14.44140625" style="22" hidden="1"/>
    <col min="4616" max="4616" width="2.88671875" style="22" hidden="1"/>
    <col min="4617" max="4864" width="9.109375" style="22" hidden="1"/>
    <col min="4865" max="4865" width="2.88671875" style="22" hidden="1"/>
    <col min="4866" max="4866" width="3.5546875" style="22" hidden="1"/>
    <col min="4867" max="4867" width="36.5546875" style="22" hidden="1"/>
    <col min="4868" max="4871" width="14.44140625" style="22" hidden="1"/>
    <col min="4872" max="4872" width="2.88671875" style="22" hidden="1"/>
    <col min="4873" max="5120" width="9.109375" style="22" hidden="1"/>
    <col min="5121" max="5121" width="2.88671875" style="22" hidden="1"/>
    <col min="5122" max="5122" width="3.5546875" style="22" hidden="1"/>
    <col min="5123" max="5123" width="36.5546875" style="22" hidden="1"/>
    <col min="5124" max="5127" width="14.44140625" style="22" hidden="1"/>
    <col min="5128" max="5128" width="2.88671875" style="22" hidden="1"/>
    <col min="5129" max="5376" width="9.109375" style="22" hidden="1"/>
    <col min="5377" max="5377" width="2.88671875" style="22" hidden="1"/>
    <col min="5378" max="5378" width="3.5546875" style="22" hidden="1"/>
    <col min="5379" max="5379" width="36.5546875" style="22" hidden="1"/>
    <col min="5380" max="5383" width="14.44140625" style="22" hidden="1"/>
    <col min="5384" max="5384" width="2.88671875" style="22" hidden="1"/>
    <col min="5385" max="5632" width="9.109375" style="22" hidden="1"/>
    <col min="5633" max="5633" width="2.88671875" style="22" hidden="1"/>
    <col min="5634" max="5634" width="3.5546875" style="22" hidden="1"/>
    <col min="5635" max="5635" width="36.5546875" style="22" hidden="1"/>
    <col min="5636" max="5639" width="14.44140625" style="22" hidden="1"/>
    <col min="5640" max="5640" width="2.88671875" style="22" hidden="1"/>
    <col min="5641" max="5888" width="9.109375" style="22" hidden="1"/>
    <col min="5889" max="5889" width="2.88671875" style="22" hidden="1"/>
    <col min="5890" max="5890" width="3.5546875" style="22" hidden="1"/>
    <col min="5891" max="5891" width="36.5546875" style="22" hidden="1"/>
    <col min="5892" max="5895" width="14.44140625" style="22" hidden="1"/>
    <col min="5896" max="5896" width="2.88671875" style="22" hidden="1"/>
    <col min="5897" max="6144" width="9.109375" style="22" hidden="1"/>
    <col min="6145" max="6145" width="2.88671875" style="22" hidden="1"/>
    <col min="6146" max="6146" width="3.5546875" style="22" hidden="1"/>
    <col min="6147" max="6147" width="36.5546875" style="22" hidden="1"/>
    <col min="6148" max="6151" width="14.44140625" style="22" hidden="1"/>
    <col min="6152" max="6152" width="2.88671875" style="22" hidden="1"/>
    <col min="6153" max="6400" width="9.109375" style="22" hidden="1"/>
    <col min="6401" max="6401" width="2.88671875" style="22" hidden="1"/>
    <col min="6402" max="6402" width="3.5546875" style="22" hidden="1"/>
    <col min="6403" max="6403" width="36.5546875" style="22" hidden="1"/>
    <col min="6404" max="6407" width="14.44140625" style="22" hidden="1"/>
    <col min="6408" max="6408" width="2.88671875" style="22" hidden="1"/>
    <col min="6409" max="6656" width="9.109375" style="22" hidden="1"/>
    <col min="6657" max="6657" width="2.88671875" style="22" hidden="1"/>
    <col min="6658" max="6658" width="3.5546875" style="22" hidden="1"/>
    <col min="6659" max="6659" width="36.5546875" style="22" hidden="1"/>
    <col min="6660" max="6663" width="14.44140625" style="22" hidden="1"/>
    <col min="6664" max="6664" width="2.88671875" style="22" hidden="1"/>
    <col min="6665" max="6912" width="9.109375" style="22" hidden="1"/>
    <col min="6913" max="6913" width="2.88671875" style="22" hidden="1"/>
    <col min="6914" max="6914" width="3.5546875" style="22" hidden="1"/>
    <col min="6915" max="6915" width="36.5546875" style="22" hidden="1"/>
    <col min="6916" max="6919" width="14.44140625" style="22" hidden="1"/>
    <col min="6920" max="6920" width="2.88671875" style="22" hidden="1"/>
    <col min="6921" max="7168" width="9.109375" style="22" hidden="1"/>
    <col min="7169" max="7169" width="2.88671875" style="22" hidden="1"/>
    <col min="7170" max="7170" width="3.5546875" style="22" hidden="1"/>
    <col min="7171" max="7171" width="36.5546875" style="22" hidden="1"/>
    <col min="7172" max="7175" width="14.44140625" style="22" hidden="1"/>
    <col min="7176" max="7176" width="2.88671875" style="22" hidden="1"/>
    <col min="7177" max="7424" width="9.109375" style="22" hidden="1"/>
    <col min="7425" max="7425" width="2.88671875" style="22" hidden="1"/>
    <col min="7426" max="7426" width="3.5546875" style="22" hidden="1"/>
    <col min="7427" max="7427" width="36.5546875" style="22" hidden="1"/>
    <col min="7428" max="7431" width="14.44140625" style="22" hidden="1"/>
    <col min="7432" max="7432" width="2.88671875" style="22" hidden="1"/>
    <col min="7433" max="7680" width="9.109375" style="22" hidden="1"/>
    <col min="7681" max="7681" width="2.88671875" style="22" hidden="1"/>
    <col min="7682" max="7682" width="3.5546875" style="22" hidden="1"/>
    <col min="7683" max="7683" width="36.5546875" style="22" hidden="1"/>
    <col min="7684" max="7687" width="14.44140625" style="22" hidden="1"/>
    <col min="7688" max="7688" width="2.88671875" style="22" hidden="1"/>
    <col min="7689" max="7936" width="9.109375" style="22" hidden="1"/>
    <col min="7937" max="7937" width="2.88671875" style="22" hidden="1"/>
    <col min="7938" max="7938" width="3.5546875" style="22" hidden="1"/>
    <col min="7939" max="7939" width="36.5546875" style="22" hidden="1"/>
    <col min="7940" max="7943" width="14.44140625" style="22" hidden="1"/>
    <col min="7944" max="7944" width="2.88671875" style="22" hidden="1"/>
    <col min="7945" max="8192" width="9.109375" style="22" hidden="1"/>
    <col min="8193" max="8193" width="2.88671875" style="22" hidden="1"/>
    <col min="8194" max="8194" width="3.5546875" style="22" hidden="1"/>
    <col min="8195" max="8195" width="36.5546875" style="22" hidden="1"/>
    <col min="8196" max="8199" width="14.44140625" style="22" hidden="1"/>
    <col min="8200" max="8200" width="2.88671875" style="22" hidden="1"/>
    <col min="8201" max="8448" width="9.109375" style="22" hidden="1"/>
    <col min="8449" max="8449" width="2.88671875" style="22" hidden="1"/>
    <col min="8450" max="8450" width="3.5546875" style="22" hidden="1"/>
    <col min="8451" max="8451" width="36.5546875" style="22" hidden="1"/>
    <col min="8452" max="8455" width="14.44140625" style="22" hidden="1"/>
    <col min="8456" max="8456" width="2.88671875" style="22" hidden="1"/>
    <col min="8457" max="8704" width="9.109375" style="22" hidden="1"/>
    <col min="8705" max="8705" width="2.88671875" style="22" hidden="1"/>
    <col min="8706" max="8706" width="3.5546875" style="22" hidden="1"/>
    <col min="8707" max="8707" width="36.5546875" style="22" hidden="1"/>
    <col min="8708" max="8711" width="14.44140625" style="22" hidden="1"/>
    <col min="8712" max="8712" width="2.88671875" style="22" hidden="1"/>
    <col min="8713" max="8960" width="9.109375" style="22" hidden="1"/>
    <col min="8961" max="8961" width="2.88671875" style="22" hidden="1"/>
    <col min="8962" max="8962" width="3.5546875" style="22" hidden="1"/>
    <col min="8963" max="8963" width="36.5546875" style="22" hidden="1"/>
    <col min="8964" max="8967" width="14.44140625" style="22" hidden="1"/>
    <col min="8968" max="8968" width="2.88671875" style="22" hidden="1"/>
    <col min="8969" max="9216" width="9.109375" style="22" hidden="1"/>
    <col min="9217" max="9217" width="2.88671875" style="22" hidden="1"/>
    <col min="9218" max="9218" width="3.5546875" style="22" hidden="1"/>
    <col min="9219" max="9219" width="36.5546875" style="22" hidden="1"/>
    <col min="9220" max="9223" width="14.44140625" style="22" hidden="1"/>
    <col min="9224" max="9224" width="2.88671875" style="22" hidden="1"/>
    <col min="9225" max="9472" width="9.109375" style="22" hidden="1"/>
    <col min="9473" max="9473" width="2.88671875" style="22" hidden="1"/>
    <col min="9474" max="9474" width="3.5546875" style="22" hidden="1"/>
    <col min="9475" max="9475" width="36.5546875" style="22" hidden="1"/>
    <col min="9476" max="9479" width="14.44140625" style="22" hidden="1"/>
    <col min="9480" max="9480" width="2.88671875" style="22" hidden="1"/>
    <col min="9481" max="9728" width="9.109375" style="22" hidden="1"/>
    <col min="9729" max="9729" width="2.88671875" style="22" hidden="1"/>
    <col min="9730" max="9730" width="3.5546875" style="22" hidden="1"/>
    <col min="9731" max="9731" width="36.5546875" style="22" hidden="1"/>
    <col min="9732" max="9735" width="14.44140625" style="22" hidden="1"/>
    <col min="9736" max="9736" width="2.88671875" style="22" hidden="1"/>
    <col min="9737" max="9984" width="9.109375" style="22" hidden="1"/>
    <col min="9985" max="9985" width="2.88671875" style="22" hidden="1"/>
    <col min="9986" max="9986" width="3.5546875" style="22" hidden="1"/>
    <col min="9987" max="9987" width="36.5546875" style="22" hidden="1"/>
    <col min="9988" max="9991" width="14.44140625" style="22" hidden="1"/>
    <col min="9992" max="9992" width="2.88671875" style="22" hidden="1"/>
    <col min="9993" max="10240" width="9.109375" style="22" hidden="1"/>
    <col min="10241" max="10241" width="2.88671875" style="22" hidden="1"/>
    <col min="10242" max="10242" width="3.5546875" style="22" hidden="1"/>
    <col min="10243" max="10243" width="36.5546875" style="22" hidden="1"/>
    <col min="10244" max="10247" width="14.44140625" style="22" hidden="1"/>
    <col min="10248" max="10248" width="2.88671875" style="22" hidden="1"/>
    <col min="10249" max="10496" width="9.109375" style="22" hidden="1"/>
    <col min="10497" max="10497" width="2.88671875" style="22" hidden="1"/>
    <col min="10498" max="10498" width="3.5546875" style="22" hidden="1"/>
    <col min="10499" max="10499" width="36.5546875" style="22" hidden="1"/>
    <col min="10500" max="10503" width="14.44140625" style="22" hidden="1"/>
    <col min="10504" max="10504" width="2.88671875" style="22" hidden="1"/>
    <col min="10505" max="10752" width="9.109375" style="22" hidden="1"/>
    <col min="10753" max="10753" width="2.88671875" style="22" hidden="1"/>
    <col min="10754" max="10754" width="3.5546875" style="22" hidden="1"/>
    <col min="10755" max="10755" width="36.5546875" style="22" hidden="1"/>
    <col min="10756" max="10759" width="14.44140625" style="22" hidden="1"/>
    <col min="10760" max="10760" width="2.88671875" style="22" hidden="1"/>
    <col min="10761" max="11008" width="9.109375" style="22" hidden="1"/>
    <col min="11009" max="11009" width="2.88671875" style="22" hidden="1"/>
    <col min="11010" max="11010" width="3.5546875" style="22" hidden="1"/>
    <col min="11011" max="11011" width="36.5546875" style="22" hidden="1"/>
    <col min="11012" max="11015" width="14.44140625" style="22" hidden="1"/>
    <col min="11016" max="11016" width="2.88671875" style="22" hidden="1"/>
    <col min="11017" max="11264" width="9.109375" style="22" hidden="1"/>
    <col min="11265" max="11265" width="2.88671875" style="22" hidden="1"/>
    <col min="11266" max="11266" width="3.5546875" style="22" hidden="1"/>
    <col min="11267" max="11267" width="36.5546875" style="22" hidden="1"/>
    <col min="11268" max="11271" width="14.44140625" style="22" hidden="1"/>
    <col min="11272" max="11272" width="2.88671875" style="22" hidden="1"/>
    <col min="11273" max="11520" width="9.109375" style="22" hidden="1"/>
    <col min="11521" max="11521" width="2.88671875" style="22" hidden="1"/>
    <col min="11522" max="11522" width="3.5546875" style="22" hidden="1"/>
    <col min="11523" max="11523" width="36.5546875" style="22" hidden="1"/>
    <col min="11524" max="11527" width="14.44140625" style="22" hidden="1"/>
    <col min="11528" max="11528" width="2.88671875" style="22" hidden="1"/>
    <col min="11529" max="11776" width="9.109375" style="22" hidden="1"/>
    <col min="11777" max="11777" width="2.88671875" style="22" hidden="1"/>
    <col min="11778" max="11778" width="3.5546875" style="22" hidden="1"/>
    <col min="11779" max="11779" width="36.5546875" style="22" hidden="1"/>
    <col min="11780" max="11783" width="14.44140625" style="22" hidden="1"/>
    <col min="11784" max="11784" width="2.88671875" style="22" hidden="1"/>
    <col min="11785" max="12032" width="9.109375" style="22" hidden="1"/>
    <col min="12033" max="12033" width="2.88671875" style="22" hidden="1"/>
    <col min="12034" max="12034" width="3.5546875" style="22" hidden="1"/>
    <col min="12035" max="12035" width="36.5546875" style="22" hidden="1"/>
    <col min="12036" max="12039" width="14.44140625" style="22" hidden="1"/>
    <col min="12040" max="12040" width="2.88671875" style="22" hidden="1"/>
    <col min="12041" max="12288" width="9.109375" style="22" hidden="1"/>
    <col min="12289" max="12289" width="2.88671875" style="22" hidden="1"/>
    <col min="12290" max="12290" width="3.5546875" style="22" hidden="1"/>
    <col min="12291" max="12291" width="36.5546875" style="22" hidden="1"/>
    <col min="12292" max="12295" width="14.44140625" style="22" hidden="1"/>
    <col min="12296" max="12296" width="2.88671875" style="22" hidden="1"/>
    <col min="12297" max="12544" width="9.109375" style="22" hidden="1"/>
    <col min="12545" max="12545" width="2.88671875" style="22" hidden="1"/>
    <col min="12546" max="12546" width="3.5546875" style="22" hidden="1"/>
    <col min="12547" max="12547" width="36.5546875" style="22" hidden="1"/>
    <col min="12548" max="12551" width="14.44140625" style="22" hidden="1"/>
    <col min="12552" max="12552" width="2.88671875" style="22" hidden="1"/>
    <col min="12553" max="12800" width="9.109375" style="22" hidden="1"/>
    <col min="12801" max="12801" width="2.88671875" style="22" hidden="1"/>
    <col min="12802" max="12802" width="3.5546875" style="22" hidden="1"/>
    <col min="12803" max="12803" width="36.5546875" style="22" hidden="1"/>
    <col min="12804" max="12807" width="14.44140625" style="22" hidden="1"/>
    <col min="12808" max="12808" width="2.88671875" style="22" hidden="1"/>
    <col min="12809" max="13056" width="9.109375" style="22" hidden="1"/>
    <col min="13057" max="13057" width="2.88671875" style="22" hidden="1"/>
    <col min="13058" max="13058" width="3.5546875" style="22" hidden="1"/>
    <col min="13059" max="13059" width="36.5546875" style="22" hidden="1"/>
    <col min="13060" max="13063" width="14.44140625" style="22" hidden="1"/>
    <col min="13064" max="13064" width="2.88671875" style="22" hidden="1"/>
    <col min="13065" max="13312" width="9.109375" style="22" hidden="1"/>
    <col min="13313" max="13313" width="2.88671875" style="22" hidden="1"/>
    <col min="13314" max="13314" width="3.5546875" style="22" hidden="1"/>
    <col min="13315" max="13315" width="36.5546875" style="22" hidden="1"/>
    <col min="13316" max="13319" width="14.44140625" style="22" hidden="1"/>
    <col min="13320" max="13320" width="2.88671875" style="22" hidden="1"/>
    <col min="13321" max="13568" width="9.109375" style="22" hidden="1"/>
    <col min="13569" max="13569" width="2.88671875" style="22" hidden="1"/>
    <col min="13570" max="13570" width="3.5546875" style="22" hidden="1"/>
    <col min="13571" max="13571" width="36.5546875" style="22" hidden="1"/>
    <col min="13572" max="13575" width="14.44140625" style="22" hidden="1"/>
    <col min="13576" max="13576" width="2.88671875" style="22" hidden="1"/>
    <col min="13577" max="13824" width="9.109375" style="22" hidden="1"/>
    <col min="13825" max="13825" width="2.88671875" style="22" hidden="1"/>
    <col min="13826" max="13826" width="3.5546875" style="22" hidden="1"/>
    <col min="13827" max="13827" width="36.5546875" style="22" hidden="1"/>
    <col min="13828" max="13831" width="14.44140625" style="22" hidden="1"/>
    <col min="13832" max="13832" width="2.88671875" style="22" hidden="1"/>
    <col min="13833" max="14080" width="9.109375" style="22" hidden="1"/>
    <col min="14081" max="14081" width="2.88671875" style="22" hidden="1"/>
    <col min="14082" max="14082" width="3.5546875" style="22" hidden="1"/>
    <col min="14083" max="14083" width="36.5546875" style="22" hidden="1"/>
    <col min="14084" max="14087" width="14.44140625" style="22" hidden="1"/>
    <col min="14088" max="14088" width="2.88671875" style="22" hidden="1"/>
    <col min="14089" max="14336" width="9.109375" style="22" hidden="1"/>
    <col min="14337" max="14337" width="2.88671875" style="22" hidden="1"/>
    <col min="14338" max="14338" width="3.5546875" style="22" hidden="1"/>
    <col min="14339" max="14339" width="36.5546875" style="22" hidden="1"/>
    <col min="14340" max="14343" width="14.44140625" style="22" hidden="1"/>
    <col min="14344" max="14344" width="2.88671875" style="22" hidden="1"/>
    <col min="14345" max="14592" width="9.109375" style="22" hidden="1"/>
    <col min="14593" max="14593" width="2.88671875" style="22" hidden="1"/>
    <col min="14594" max="14594" width="3.5546875" style="22" hidden="1"/>
    <col min="14595" max="14595" width="36.5546875" style="22" hidden="1"/>
    <col min="14596" max="14599" width="14.44140625" style="22" hidden="1"/>
    <col min="14600" max="14600" width="2.88671875" style="22" hidden="1"/>
    <col min="14601" max="14848" width="9.109375" style="22" hidden="1"/>
    <col min="14849" max="14849" width="2.88671875" style="22" hidden="1"/>
    <col min="14850" max="14850" width="3.5546875" style="22" hidden="1"/>
    <col min="14851" max="14851" width="36.5546875" style="22" hidden="1"/>
    <col min="14852" max="14855" width="14.44140625" style="22" hidden="1"/>
    <col min="14856" max="14856" width="2.88671875" style="22" hidden="1"/>
    <col min="14857" max="15104" width="9.109375" style="22" hidden="1"/>
    <col min="15105" max="15105" width="2.88671875" style="22" hidden="1"/>
    <col min="15106" max="15106" width="3.5546875" style="22" hidden="1"/>
    <col min="15107" max="15107" width="36.5546875" style="22" hidden="1"/>
    <col min="15108" max="15111" width="14.44140625" style="22" hidden="1"/>
    <col min="15112" max="15112" width="2.88671875" style="22" hidden="1"/>
    <col min="15113" max="15360" width="9.109375" style="22" hidden="1"/>
    <col min="15361" max="15361" width="2.88671875" style="22" hidden="1"/>
    <col min="15362" max="15362" width="3.5546875" style="22" hidden="1"/>
    <col min="15363" max="15363" width="36.5546875" style="22" hidden="1"/>
    <col min="15364" max="15367" width="14.44140625" style="22" hidden="1"/>
    <col min="15368" max="15368" width="2.88671875" style="22" hidden="1"/>
    <col min="15369" max="15616" width="9.109375" style="22" hidden="1"/>
    <col min="15617" max="15617" width="2.88671875" style="22" hidden="1"/>
    <col min="15618" max="15618" width="3.5546875" style="22" hidden="1"/>
    <col min="15619" max="15619" width="36.5546875" style="22" hidden="1"/>
    <col min="15620" max="15623" width="14.44140625" style="22" hidden="1"/>
    <col min="15624" max="15624" width="2.88671875" style="22" hidden="1"/>
    <col min="15625" max="15872" width="9.109375" style="22" hidden="1"/>
    <col min="15873" max="15873" width="2.88671875" style="22" hidden="1"/>
    <col min="15874" max="15874" width="3.5546875" style="22" hidden="1"/>
    <col min="15875" max="15875" width="36.5546875" style="22" hidden="1"/>
    <col min="15876" max="15879" width="14.44140625" style="22" hidden="1"/>
    <col min="15880" max="15880" width="2.88671875" style="22" hidden="1"/>
    <col min="15881" max="16128" width="9.109375" style="22" hidden="1"/>
    <col min="16129" max="16129" width="2.88671875" style="22" hidden="1"/>
    <col min="16130" max="16130" width="3.5546875" style="22" hidden="1"/>
    <col min="16131" max="16131" width="36.5546875" style="22" hidden="1"/>
    <col min="16132" max="16135" width="14.44140625" style="22" hidden="1"/>
    <col min="16136" max="16136" width="2.88671875" style="22" hidden="1"/>
    <col min="16137" max="16137" width="14.44140625" style="22" hidden="1"/>
    <col min="16138" max="16138" width="2.88671875" style="22" hidden="1"/>
    <col min="16139" max="16384" width="9.109375" style="22" hidden="1"/>
  </cols>
  <sheetData>
    <row r="1" spans="1:8" ht="15" customHeight="1" x14ac:dyDescent="0.3">
      <c r="A1" s="38"/>
      <c r="B1" s="26"/>
      <c r="C1" s="38"/>
      <c r="D1" s="38"/>
      <c r="E1" s="38"/>
      <c r="F1" s="38"/>
      <c r="G1" s="38"/>
      <c r="H1" s="38"/>
    </row>
    <row r="2" spans="1:8" ht="15" customHeight="1" x14ac:dyDescent="0.3">
      <c r="A2" s="38"/>
      <c r="B2" s="26"/>
      <c r="C2" s="38"/>
      <c r="D2" s="38"/>
      <c r="E2" s="38"/>
      <c r="F2" s="38"/>
      <c r="G2" s="38"/>
      <c r="H2" s="38"/>
    </row>
    <row r="3" spans="1:8" ht="15" customHeight="1" x14ac:dyDescent="0.3">
      <c r="A3" s="38"/>
      <c r="B3" s="26"/>
      <c r="C3" s="38"/>
      <c r="D3" s="38"/>
      <c r="E3" s="38"/>
      <c r="F3" s="38"/>
      <c r="G3" s="38"/>
      <c r="H3" s="38"/>
    </row>
    <row r="4" spans="1:8" ht="9" customHeight="1" x14ac:dyDescent="0.3">
      <c r="A4" s="38"/>
      <c r="B4" s="40"/>
      <c r="C4" s="38"/>
      <c r="D4" s="38"/>
      <c r="E4" s="38"/>
      <c r="F4" s="38"/>
      <c r="G4" s="38"/>
      <c r="H4" s="38"/>
    </row>
    <row r="5" spans="1:8" ht="17.25" customHeight="1" x14ac:dyDescent="0.3">
      <c r="A5" s="38"/>
      <c r="B5" s="26"/>
      <c r="C5" s="38"/>
      <c r="D5" s="38"/>
      <c r="E5" s="38"/>
      <c r="F5" s="38"/>
      <c r="G5" s="38"/>
      <c r="H5" s="38"/>
    </row>
    <row r="6" spans="1:8" ht="16.5" customHeight="1" x14ac:dyDescent="0.35">
      <c r="A6" s="38"/>
      <c r="B6" s="39"/>
      <c r="C6" s="193" t="s">
        <v>222</v>
      </c>
      <c r="D6" s="38"/>
      <c r="E6" s="41"/>
      <c r="F6" s="38"/>
      <c r="H6" s="38"/>
    </row>
    <row r="7" spans="1:8" ht="25.5" customHeight="1" x14ac:dyDescent="0.3">
      <c r="A7" s="38"/>
      <c r="B7" s="49"/>
      <c r="C7" s="50" t="s">
        <v>134</v>
      </c>
      <c r="D7" s="51"/>
      <c r="E7" s="51"/>
      <c r="F7" s="51"/>
      <c r="G7" s="51"/>
      <c r="H7" s="38"/>
    </row>
    <row r="8" spans="1:8" ht="27" customHeight="1" x14ac:dyDescent="0.3">
      <c r="A8" s="38"/>
      <c r="B8" s="39"/>
      <c r="C8" s="42"/>
      <c r="D8" s="262">
        <v>46022</v>
      </c>
      <c r="E8" s="263"/>
      <c r="F8" s="262">
        <v>45930</v>
      </c>
      <c r="G8" s="263"/>
      <c r="H8" s="38"/>
    </row>
    <row r="9" spans="1:8" ht="25.5" customHeight="1" x14ac:dyDescent="0.3">
      <c r="A9" s="38"/>
      <c r="B9" s="52"/>
      <c r="C9" s="53" t="s">
        <v>135</v>
      </c>
      <c r="D9" s="54" t="s">
        <v>136</v>
      </c>
      <c r="E9" s="54" t="s">
        <v>137</v>
      </c>
      <c r="F9" s="54" t="s">
        <v>136</v>
      </c>
      <c r="G9" s="54" t="s">
        <v>137</v>
      </c>
      <c r="H9" s="38"/>
    </row>
    <row r="10" spans="1:8" ht="18" customHeight="1" x14ac:dyDescent="0.3">
      <c r="A10" s="38"/>
      <c r="B10" s="43"/>
      <c r="C10" s="44" t="s">
        <v>138</v>
      </c>
      <c r="D10" s="45" t="s">
        <v>139</v>
      </c>
      <c r="E10" s="45" t="s">
        <v>139</v>
      </c>
      <c r="F10" s="45" t="s">
        <v>139</v>
      </c>
      <c r="G10" s="45" t="s">
        <v>139</v>
      </c>
      <c r="H10" s="38"/>
    </row>
    <row r="11" spans="1:8" ht="18" customHeight="1" x14ac:dyDescent="0.3">
      <c r="A11" s="38"/>
      <c r="B11" s="43"/>
      <c r="C11" s="44" t="s">
        <v>140</v>
      </c>
      <c r="D11" s="45" t="s">
        <v>139</v>
      </c>
      <c r="E11" s="45" t="s">
        <v>139</v>
      </c>
      <c r="F11" s="45" t="s">
        <v>139</v>
      </c>
      <c r="G11" s="45" t="s">
        <v>139</v>
      </c>
      <c r="H11" s="38"/>
    </row>
    <row r="12" spans="1:8" ht="18" customHeight="1" x14ac:dyDescent="0.3">
      <c r="A12" s="38"/>
      <c r="B12" s="43"/>
      <c r="C12" s="44" t="s">
        <v>141</v>
      </c>
      <c r="D12" s="45" t="s">
        <v>139</v>
      </c>
      <c r="E12" s="45" t="s">
        <v>139</v>
      </c>
      <c r="F12" s="45" t="s">
        <v>139</v>
      </c>
      <c r="G12" s="45" t="s">
        <v>139</v>
      </c>
      <c r="H12" s="38"/>
    </row>
    <row r="13" spans="1:8" ht="18" customHeight="1" x14ac:dyDescent="0.3">
      <c r="A13" s="38"/>
      <c r="B13" s="46"/>
      <c r="C13" s="47" t="s">
        <v>142</v>
      </c>
      <c r="D13" s="48" t="s">
        <v>139</v>
      </c>
      <c r="E13" s="48" t="s">
        <v>139</v>
      </c>
      <c r="F13" s="48" t="s">
        <v>139</v>
      </c>
      <c r="G13" s="48" t="s">
        <v>139</v>
      </c>
      <c r="H13" s="38"/>
    </row>
    <row r="14" spans="1:8" ht="16.5" customHeight="1" x14ac:dyDescent="0.3"/>
    <row r="15" spans="1:8" ht="16.5" customHeight="1" x14ac:dyDescent="0.3"/>
  </sheetData>
  <mergeCells count="2">
    <mergeCell ref="F8:G8"/>
    <mergeCell ref="D8:E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FE6-7637-4D97-B429-A94596A122CA}">
  <dimension ref="A1:XFC17"/>
  <sheetViews>
    <sheetView showGridLines="0" zoomScale="93" zoomScaleNormal="93" workbookViewId="0">
      <selection activeCell="C5" sqref="C5"/>
    </sheetView>
  </sheetViews>
  <sheetFormatPr defaultColWidth="0" defaultRowHeight="0" customHeight="1" zeroHeight="1" x14ac:dyDescent="0.35"/>
  <cols>
    <col min="1" max="1" width="1.109375" style="18" customWidth="1"/>
    <col min="2" max="2" width="3.109375" style="20" bestFit="1" customWidth="1"/>
    <col min="3" max="3" width="51.44140625" style="18" customWidth="1"/>
    <col min="4" max="7" width="13.6640625" style="18" customWidth="1"/>
    <col min="8" max="8" width="1.109375" style="18" customWidth="1"/>
    <col min="9" max="258" width="9.109375" style="18" hidden="1"/>
    <col min="259" max="259" width="2.88671875" style="18" hidden="1"/>
    <col min="260" max="260" width="3.109375" style="18" hidden="1"/>
    <col min="261" max="261" width="69.33203125" style="18" hidden="1"/>
    <col min="262" max="263" width="18.33203125" style="18" hidden="1"/>
    <col min="264" max="264" width="3" style="18" hidden="1"/>
    <col min="265" max="514" width="9.109375" style="18" hidden="1"/>
    <col min="515" max="515" width="2.88671875" style="18" hidden="1"/>
    <col min="516" max="516" width="3.109375" style="18" hidden="1"/>
    <col min="517" max="517" width="69.33203125" style="18" hidden="1"/>
    <col min="518" max="519" width="18.33203125" style="18" hidden="1"/>
    <col min="520" max="520" width="3" style="18" hidden="1"/>
    <col min="521" max="770" width="9.109375" style="18" hidden="1"/>
    <col min="771" max="771" width="2.88671875" style="18" hidden="1"/>
    <col min="772" max="772" width="3.109375" style="18" hidden="1"/>
    <col min="773" max="773" width="69.33203125" style="18" hidden="1"/>
    <col min="774" max="775" width="18.33203125" style="18" hidden="1"/>
    <col min="776" max="776" width="3" style="18" hidden="1"/>
    <col min="777" max="1026" width="9.109375" style="18" hidden="1"/>
    <col min="1027" max="1027" width="2.88671875" style="18" hidden="1"/>
    <col min="1028" max="1028" width="3.109375" style="18" hidden="1"/>
    <col min="1029" max="1029" width="69.33203125" style="18" hidden="1"/>
    <col min="1030" max="1031" width="18.33203125" style="18" hidden="1"/>
    <col min="1032" max="1032" width="3" style="18" hidden="1"/>
    <col min="1033" max="1282" width="9.109375" style="18" hidden="1"/>
    <col min="1283" max="1283" width="2.88671875" style="18" hidden="1"/>
    <col min="1284" max="1284" width="3.109375" style="18" hidden="1"/>
    <col min="1285" max="1285" width="69.33203125" style="18" hidden="1"/>
    <col min="1286" max="1287" width="18.33203125" style="18" hidden="1"/>
    <col min="1288" max="1288" width="3" style="18" hidden="1"/>
    <col min="1289" max="1538" width="9.109375" style="18" hidden="1"/>
    <col min="1539" max="1539" width="2.88671875" style="18" hidden="1"/>
    <col min="1540" max="1540" width="3.109375" style="18" hidden="1"/>
    <col min="1541" max="1541" width="69.33203125" style="18" hidden="1"/>
    <col min="1542" max="1543" width="18.33203125" style="18" hidden="1"/>
    <col min="1544" max="1544" width="3" style="18" hidden="1"/>
    <col min="1545" max="1794" width="9.109375" style="18" hidden="1"/>
    <col min="1795" max="1795" width="2.88671875" style="18" hidden="1"/>
    <col min="1796" max="1796" width="3.109375" style="18" hidden="1"/>
    <col min="1797" max="1797" width="69.33203125" style="18" hidden="1"/>
    <col min="1798" max="1799" width="18.33203125" style="18" hidden="1"/>
    <col min="1800" max="1800" width="3" style="18" hidden="1"/>
    <col min="1801" max="2050" width="9.109375" style="18" hidden="1"/>
    <col min="2051" max="2051" width="2.88671875" style="18" hidden="1"/>
    <col min="2052" max="2052" width="3.109375" style="18" hidden="1"/>
    <col min="2053" max="2053" width="69.33203125" style="18" hidden="1"/>
    <col min="2054" max="2055" width="18.33203125" style="18" hidden="1"/>
    <col min="2056" max="2056" width="3" style="18" hidden="1"/>
    <col min="2057" max="2306" width="9.109375" style="18" hidden="1"/>
    <col min="2307" max="2307" width="2.88671875" style="18" hidden="1"/>
    <col min="2308" max="2308" width="3.109375" style="18" hidden="1"/>
    <col min="2309" max="2309" width="69.33203125" style="18" hidden="1"/>
    <col min="2310" max="2311" width="18.33203125" style="18" hidden="1"/>
    <col min="2312" max="2312" width="3" style="18" hidden="1"/>
    <col min="2313" max="2562" width="9.109375" style="18" hidden="1"/>
    <col min="2563" max="2563" width="2.88671875" style="18" hidden="1"/>
    <col min="2564" max="2564" width="3.109375" style="18" hidden="1"/>
    <col min="2565" max="2565" width="69.33203125" style="18" hidden="1"/>
    <col min="2566" max="2567" width="18.33203125" style="18" hidden="1"/>
    <col min="2568" max="2568" width="3" style="18" hidden="1"/>
    <col min="2569" max="2818" width="9.109375" style="18" hidden="1"/>
    <col min="2819" max="2819" width="2.88671875" style="18" hidden="1"/>
    <col min="2820" max="2820" width="3.109375" style="18" hidden="1"/>
    <col min="2821" max="2821" width="69.33203125" style="18" hidden="1"/>
    <col min="2822" max="2823" width="18.33203125" style="18" hidden="1"/>
    <col min="2824" max="2824" width="3" style="18" hidden="1"/>
    <col min="2825" max="3074" width="9.109375" style="18" hidden="1"/>
    <col min="3075" max="3075" width="2.88671875" style="18" hidden="1"/>
    <col min="3076" max="3076" width="3.109375" style="18" hidden="1"/>
    <col min="3077" max="3077" width="69.33203125" style="18" hidden="1"/>
    <col min="3078" max="3079" width="18.33203125" style="18" hidden="1"/>
    <col min="3080" max="3080" width="3" style="18" hidden="1"/>
    <col min="3081" max="3330" width="9.109375" style="18" hidden="1"/>
    <col min="3331" max="3331" width="2.88671875" style="18" hidden="1"/>
    <col min="3332" max="3332" width="3.109375" style="18" hidden="1"/>
    <col min="3333" max="3333" width="69.33203125" style="18" hidden="1"/>
    <col min="3334" max="3335" width="18.33203125" style="18" hidden="1"/>
    <col min="3336" max="3336" width="3" style="18" hidden="1"/>
    <col min="3337" max="3586" width="9.109375" style="18" hidden="1"/>
    <col min="3587" max="3587" width="2.88671875" style="18" hidden="1"/>
    <col min="3588" max="3588" width="3.109375" style="18" hidden="1"/>
    <col min="3589" max="3589" width="69.33203125" style="18" hidden="1"/>
    <col min="3590" max="3591" width="18.33203125" style="18" hidden="1"/>
    <col min="3592" max="3592" width="3" style="18" hidden="1"/>
    <col min="3593" max="3842" width="9.109375" style="18" hidden="1"/>
    <col min="3843" max="3843" width="2.88671875" style="18" hidden="1"/>
    <col min="3844" max="3844" width="3.109375" style="18" hidden="1"/>
    <col min="3845" max="3845" width="69.33203125" style="18" hidden="1"/>
    <col min="3846" max="3847" width="18.33203125" style="18" hidden="1"/>
    <col min="3848" max="3848" width="3" style="18" hidden="1"/>
    <col min="3849" max="4098" width="9.109375" style="18" hidden="1"/>
    <col min="4099" max="4099" width="2.88671875" style="18" hidden="1"/>
    <col min="4100" max="4100" width="3.109375" style="18" hidden="1"/>
    <col min="4101" max="4101" width="69.33203125" style="18" hidden="1"/>
    <col min="4102" max="4103" width="18.33203125" style="18" hidden="1"/>
    <col min="4104" max="4104" width="3" style="18" hidden="1"/>
    <col min="4105" max="4354" width="9.109375" style="18" hidden="1"/>
    <col min="4355" max="4355" width="2.88671875" style="18" hidden="1"/>
    <col min="4356" max="4356" width="3.109375" style="18" hidden="1"/>
    <col min="4357" max="4357" width="69.33203125" style="18" hidden="1"/>
    <col min="4358" max="4359" width="18.33203125" style="18" hidden="1"/>
    <col min="4360" max="4360" width="3" style="18" hidden="1"/>
    <col min="4361" max="4610" width="9.109375" style="18" hidden="1"/>
    <col min="4611" max="4611" width="2.88671875" style="18" hidden="1"/>
    <col min="4612" max="4612" width="3.109375" style="18" hidden="1"/>
    <col min="4613" max="4613" width="69.33203125" style="18" hidden="1"/>
    <col min="4614" max="4615" width="18.33203125" style="18" hidden="1"/>
    <col min="4616" max="4616" width="3" style="18" hidden="1"/>
    <col min="4617" max="4866" width="9.109375" style="18" hidden="1"/>
    <col min="4867" max="4867" width="2.88671875" style="18" hidden="1"/>
    <col min="4868" max="4868" width="3.109375" style="18" hidden="1"/>
    <col min="4869" max="4869" width="69.33203125" style="18" hidden="1"/>
    <col min="4870" max="4871" width="18.33203125" style="18" hidden="1"/>
    <col min="4872" max="4872" width="3" style="18" hidden="1"/>
    <col min="4873" max="5122" width="9.109375" style="18" hidden="1"/>
    <col min="5123" max="5123" width="2.88671875" style="18" hidden="1"/>
    <col min="5124" max="5124" width="3.109375" style="18" hidden="1"/>
    <col min="5125" max="5125" width="69.33203125" style="18" hidden="1"/>
    <col min="5126" max="5127" width="18.33203125" style="18" hidden="1"/>
    <col min="5128" max="5128" width="3" style="18" hidden="1"/>
    <col min="5129" max="5378" width="9.109375" style="18" hidden="1"/>
    <col min="5379" max="5379" width="2.88671875" style="18" hidden="1"/>
    <col min="5380" max="5380" width="3.109375" style="18" hidden="1"/>
    <col min="5381" max="5381" width="69.33203125" style="18" hidden="1"/>
    <col min="5382" max="5383" width="18.33203125" style="18" hidden="1"/>
    <col min="5384" max="5384" width="3" style="18" hidden="1"/>
    <col min="5385" max="5634" width="9.109375" style="18" hidden="1"/>
    <col min="5635" max="5635" width="2.88671875" style="18" hidden="1"/>
    <col min="5636" max="5636" width="3.109375" style="18" hidden="1"/>
    <col min="5637" max="5637" width="69.33203125" style="18" hidden="1"/>
    <col min="5638" max="5639" width="18.33203125" style="18" hidden="1"/>
    <col min="5640" max="5640" width="3" style="18" hidden="1"/>
    <col min="5641" max="5890" width="9.109375" style="18" hidden="1"/>
    <col min="5891" max="5891" width="2.88671875" style="18" hidden="1"/>
    <col min="5892" max="5892" width="3.109375" style="18" hidden="1"/>
    <col min="5893" max="5893" width="69.33203125" style="18" hidden="1"/>
    <col min="5894" max="5895" width="18.33203125" style="18" hidden="1"/>
    <col min="5896" max="5896" width="3" style="18" hidden="1"/>
    <col min="5897" max="6146" width="9.109375" style="18" hidden="1"/>
    <col min="6147" max="6147" width="2.88671875" style="18" hidden="1"/>
    <col min="6148" max="6148" width="3.109375" style="18" hidden="1"/>
    <col min="6149" max="6149" width="69.33203125" style="18" hidden="1"/>
    <col min="6150" max="6151" width="18.33203125" style="18" hidden="1"/>
    <col min="6152" max="6152" width="3" style="18" hidden="1"/>
    <col min="6153" max="6402" width="9.109375" style="18" hidden="1"/>
    <col min="6403" max="6403" width="2.88671875" style="18" hidden="1"/>
    <col min="6404" max="6404" width="3.109375" style="18" hidden="1"/>
    <col min="6405" max="6405" width="69.33203125" style="18" hidden="1"/>
    <col min="6406" max="6407" width="18.33203125" style="18" hidden="1"/>
    <col min="6408" max="6408" width="3" style="18" hidden="1"/>
    <col min="6409" max="6658" width="9.109375" style="18" hidden="1"/>
    <col min="6659" max="6659" width="2.88671875" style="18" hidden="1"/>
    <col min="6660" max="6660" width="3.109375" style="18" hidden="1"/>
    <col min="6661" max="6661" width="69.33203125" style="18" hidden="1"/>
    <col min="6662" max="6663" width="18.33203125" style="18" hidden="1"/>
    <col min="6664" max="6664" width="3" style="18" hidden="1"/>
    <col min="6665" max="6914" width="9.109375" style="18" hidden="1"/>
    <col min="6915" max="6915" width="2.88671875" style="18" hidden="1"/>
    <col min="6916" max="6916" width="3.109375" style="18" hidden="1"/>
    <col min="6917" max="6917" width="69.33203125" style="18" hidden="1"/>
    <col min="6918" max="6919" width="18.33203125" style="18" hidden="1"/>
    <col min="6920" max="6920" width="3" style="18" hidden="1"/>
    <col min="6921" max="7170" width="9.109375" style="18" hidden="1"/>
    <col min="7171" max="7171" width="2.88671875" style="18" hidden="1"/>
    <col min="7172" max="7172" width="3.109375" style="18" hidden="1"/>
    <col min="7173" max="7173" width="69.33203125" style="18" hidden="1"/>
    <col min="7174" max="7175" width="18.33203125" style="18" hidden="1"/>
    <col min="7176" max="7176" width="3" style="18" hidden="1"/>
    <col min="7177" max="7426" width="9.109375" style="18" hidden="1"/>
    <col min="7427" max="7427" width="2.88671875" style="18" hidden="1"/>
    <col min="7428" max="7428" width="3.109375" style="18" hidden="1"/>
    <col min="7429" max="7429" width="69.33203125" style="18" hidden="1"/>
    <col min="7430" max="7431" width="18.33203125" style="18" hidden="1"/>
    <col min="7432" max="7432" width="3" style="18" hidden="1"/>
    <col min="7433" max="7682" width="9.109375" style="18" hidden="1"/>
    <col min="7683" max="7683" width="2.88671875" style="18" hidden="1"/>
    <col min="7684" max="7684" width="3.109375" style="18" hidden="1"/>
    <col min="7685" max="7685" width="69.33203125" style="18" hidden="1"/>
    <col min="7686" max="7687" width="18.33203125" style="18" hidden="1"/>
    <col min="7688" max="7688" width="3" style="18" hidden="1"/>
    <col min="7689" max="7938" width="9.109375" style="18" hidden="1"/>
    <col min="7939" max="7939" width="2.88671875" style="18" hidden="1"/>
    <col min="7940" max="7940" width="3.109375" style="18" hidden="1"/>
    <col min="7941" max="7941" width="69.33203125" style="18" hidden="1"/>
    <col min="7942" max="7943" width="18.33203125" style="18" hidden="1"/>
    <col min="7944" max="7944" width="3" style="18" hidden="1"/>
    <col min="7945" max="8194" width="9.109375" style="18" hidden="1"/>
    <col min="8195" max="8195" width="2.88671875" style="18" hidden="1"/>
    <col min="8196" max="8196" width="3.109375" style="18" hidden="1"/>
    <col min="8197" max="8197" width="69.33203125" style="18" hidden="1"/>
    <col min="8198" max="8199" width="18.33203125" style="18" hidden="1"/>
    <col min="8200" max="8200" width="3" style="18" hidden="1"/>
    <col min="8201" max="8450" width="9.109375" style="18" hidden="1"/>
    <col min="8451" max="8451" width="2.88671875" style="18" hidden="1"/>
    <col min="8452" max="8452" width="3.109375" style="18" hidden="1"/>
    <col min="8453" max="8453" width="69.33203125" style="18" hidden="1"/>
    <col min="8454" max="8455" width="18.33203125" style="18" hidden="1"/>
    <col min="8456" max="8456" width="3" style="18" hidden="1"/>
    <col min="8457" max="8706" width="9.109375" style="18" hidden="1"/>
    <col min="8707" max="8707" width="2.88671875" style="18" hidden="1"/>
    <col min="8708" max="8708" width="3.109375" style="18" hidden="1"/>
    <col min="8709" max="8709" width="69.33203125" style="18" hidden="1"/>
    <col min="8710" max="8711" width="18.33203125" style="18" hidden="1"/>
    <col min="8712" max="8712" width="3" style="18" hidden="1"/>
    <col min="8713" max="8962" width="9.109375" style="18" hidden="1"/>
    <col min="8963" max="8963" width="2.88671875" style="18" hidden="1"/>
    <col min="8964" max="8964" width="3.109375" style="18" hidden="1"/>
    <col min="8965" max="8965" width="69.33203125" style="18" hidden="1"/>
    <col min="8966" max="8967" width="18.33203125" style="18" hidden="1"/>
    <col min="8968" max="8968" width="3" style="18" hidden="1"/>
    <col min="8969" max="9218" width="9.109375" style="18" hidden="1"/>
    <col min="9219" max="9219" width="2.88671875" style="18" hidden="1"/>
    <col min="9220" max="9220" width="3.109375" style="18" hidden="1"/>
    <col min="9221" max="9221" width="69.33203125" style="18" hidden="1"/>
    <col min="9222" max="9223" width="18.33203125" style="18" hidden="1"/>
    <col min="9224" max="9224" width="3" style="18" hidden="1"/>
    <col min="9225" max="9474" width="9.109375" style="18" hidden="1"/>
    <col min="9475" max="9475" width="2.88671875" style="18" hidden="1"/>
    <col min="9476" max="9476" width="3.109375" style="18" hidden="1"/>
    <col min="9477" max="9477" width="69.33203125" style="18" hidden="1"/>
    <col min="9478" max="9479" width="18.33203125" style="18" hidden="1"/>
    <col min="9480" max="9480" width="3" style="18" hidden="1"/>
    <col min="9481" max="9730" width="9.109375" style="18" hidden="1"/>
    <col min="9731" max="9731" width="2.88671875" style="18" hidden="1"/>
    <col min="9732" max="9732" width="3.109375" style="18" hidden="1"/>
    <col min="9733" max="9733" width="69.33203125" style="18" hidden="1"/>
    <col min="9734" max="9735" width="18.33203125" style="18" hidden="1"/>
    <col min="9736" max="9736" width="3" style="18" hidden="1"/>
    <col min="9737" max="9986" width="9.109375" style="18" hidden="1"/>
    <col min="9987" max="9987" width="2.88671875" style="18" hidden="1"/>
    <col min="9988" max="9988" width="3.109375" style="18" hidden="1"/>
    <col min="9989" max="9989" width="69.33203125" style="18" hidden="1"/>
    <col min="9990" max="9991" width="18.33203125" style="18" hidden="1"/>
    <col min="9992" max="9992" width="3" style="18" hidden="1"/>
    <col min="9993" max="10242" width="9.109375" style="18" hidden="1"/>
    <col min="10243" max="10243" width="2.88671875" style="18" hidden="1"/>
    <col min="10244" max="10244" width="3.109375" style="18" hidden="1"/>
    <col min="10245" max="10245" width="69.33203125" style="18" hidden="1"/>
    <col min="10246" max="10247" width="18.33203125" style="18" hidden="1"/>
    <col min="10248" max="10248" width="3" style="18" hidden="1"/>
    <col min="10249" max="10498" width="9.109375" style="18" hidden="1"/>
    <col min="10499" max="10499" width="2.88671875" style="18" hidden="1"/>
    <col min="10500" max="10500" width="3.109375" style="18" hidden="1"/>
    <col min="10501" max="10501" width="69.33203125" style="18" hidden="1"/>
    <col min="10502" max="10503" width="18.33203125" style="18" hidden="1"/>
    <col min="10504" max="10504" width="3" style="18" hidden="1"/>
    <col min="10505" max="10754" width="9.109375" style="18" hidden="1"/>
    <col min="10755" max="10755" width="2.88671875" style="18" hidden="1"/>
    <col min="10756" max="10756" width="3.109375" style="18" hidden="1"/>
    <col min="10757" max="10757" width="69.33203125" style="18" hidden="1"/>
    <col min="10758" max="10759" width="18.33203125" style="18" hidden="1"/>
    <col min="10760" max="10760" width="3" style="18" hidden="1"/>
    <col min="10761" max="11010" width="9.109375" style="18" hidden="1"/>
    <col min="11011" max="11011" width="2.88671875" style="18" hidden="1"/>
    <col min="11012" max="11012" width="3.109375" style="18" hidden="1"/>
    <col min="11013" max="11013" width="69.33203125" style="18" hidden="1"/>
    <col min="11014" max="11015" width="18.33203125" style="18" hidden="1"/>
    <col min="11016" max="11016" width="3" style="18" hidden="1"/>
    <col min="11017" max="11266" width="9.109375" style="18" hidden="1"/>
    <col min="11267" max="11267" width="2.88671875" style="18" hidden="1"/>
    <col min="11268" max="11268" width="3.109375" style="18" hidden="1"/>
    <col min="11269" max="11269" width="69.33203125" style="18" hidden="1"/>
    <col min="11270" max="11271" width="18.33203125" style="18" hidden="1"/>
    <col min="11272" max="11272" width="3" style="18" hidden="1"/>
    <col min="11273" max="11522" width="9.109375" style="18" hidden="1"/>
    <col min="11523" max="11523" width="2.88671875" style="18" hidden="1"/>
    <col min="11524" max="11524" width="3.109375" style="18" hidden="1"/>
    <col min="11525" max="11525" width="69.33203125" style="18" hidden="1"/>
    <col min="11526" max="11527" width="18.33203125" style="18" hidden="1"/>
    <col min="11528" max="11528" width="3" style="18" hidden="1"/>
    <col min="11529" max="11778" width="9.109375" style="18" hidden="1"/>
    <col min="11779" max="11779" width="2.88671875" style="18" hidden="1"/>
    <col min="11780" max="11780" width="3.109375" style="18" hidden="1"/>
    <col min="11781" max="11781" width="69.33203125" style="18" hidden="1"/>
    <col min="11782" max="11783" width="18.33203125" style="18" hidden="1"/>
    <col min="11784" max="11784" width="3" style="18" hidden="1"/>
    <col min="11785" max="12034" width="9.109375" style="18" hidden="1"/>
    <col min="12035" max="12035" width="2.88671875" style="18" hidden="1"/>
    <col min="12036" max="12036" width="3.109375" style="18" hidden="1"/>
    <col min="12037" max="12037" width="69.33203125" style="18" hidden="1"/>
    <col min="12038" max="12039" width="18.33203125" style="18" hidden="1"/>
    <col min="12040" max="12040" width="3" style="18" hidden="1"/>
    <col min="12041" max="12290" width="9.109375" style="18" hidden="1"/>
    <col min="12291" max="12291" width="2.88671875" style="18" hidden="1"/>
    <col min="12292" max="12292" width="3.109375" style="18" hidden="1"/>
    <col min="12293" max="12293" width="69.33203125" style="18" hidden="1"/>
    <col min="12294" max="12295" width="18.33203125" style="18" hidden="1"/>
    <col min="12296" max="12296" width="3" style="18" hidden="1"/>
    <col min="12297" max="12546" width="9.109375" style="18" hidden="1"/>
    <col min="12547" max="12547" width="2.88671875" style="18" hidden="1"/>
    <col min="12548" max="12548" width="3.109375" style="18" hidden="1"/>
    <col min="12549" max="12549" width="69.33203125" style="18" hidden="1"/>
    <col min="12550" max="12551" width="18.33203125" style="18" hidden="1"/>
    <col min="12552" max="12552" width="3" style="18" hidden="1"/>
    <col min="12553" max="12802" width="9.109375" style="18" hidden="1"/>
    <col min="12803" max="12803" width="2.88671875" style="18" hidden="1"/>
    <col min="12804" max="12804" width="3.109375" style="18" hidden="1"/>
    <col min="12805" max="12805" width="69.33203125" style="18" hidden="1"/>
    <col min="12806" max="12807" width="18.33203125" style="18" hidden="1"/>
    <col min="12808" max="12808" width="3" style="18" hidden="1"/>
    <col min="12809" max="13058" width="9.109375" style="18" hidden="1"/>
    <col min="13059" max="13059" width="2.88671875" style="18" hidden="1"/>
    <col min="13060" max="13060" width="3.109375" style="18" hidden="1"/>
    <col min="13061" max="13061" width="69.33203125" style="18" hidden="1"/>
    <col min="13062" max="13063" width="18.33203125" style="18" hidden="1"/>
    <col min="13064" max="13064" width="3" style="18" hidden="1"/>
    <col min="13065" max="13314" width="9.109375" style="18" hidden="1"/>
    <col min="13315" max="13315" width="2.88671875" style="18" hidden="1"/>
    <col min="13316" max="13316" width="3.109375" style="18" hidden="1"/>
    <col min="13317" max="13317" width="69.33203125" style="18" hidden="1"/>
    <col min="13318" max="13319" width="18.33203125" style="18" hidden="1"/>
    <col min="13320" max="13320" width="3" style="18" hidden="1"/>
    <col min="13321" max="13570" width="9.109375" style="18" hidden="1"/>
    <col min="13571" max="13571" width="2.88671875" style="18" hidden="1"/>
    <col min="13572" max="13572" width="3.109375" style="18" hidden="1"/>
    <col min="13573" max="13573" width="69.33203125" style="18" hidden="1"/>
    <col min="13574" max="13575" width="18.33203125" style="18" hidden="1"/>
    <col min="13576" max="13576" width="3" style="18" hidden="1"/>
    <col min="13577" max="13826" width="9.109375" style="18" hidden="1"/>
    <col min="13827" max="13827" width="2.88671875" style="18" hidden="1"/>
    <col min="13828" max="13828" width="3.109375" style="18" hidden="1"/>
    <col min="13829" max="13829" width="69.33203125" style="18" hidden="1"/>
    <col min="13830" max="13831" width="18.33203125" style="18" hidden="1"/>
    <col min="13832" max="13832" width="3" style="18" hidden="1"/>
    <col min="13833" max="14082" width="9.109375" style="18" hidden="1"/>
    <col min="14083" max="14083" width="2.88671875" style="18" hidden="1"/>
    <col min="14084" max="14084" width="3.109375" style="18" hidden="1"/>
    <col min="14085" max="14085" width="69.33203125" style="18" hidden="1"/>
    <col min="14086" max="14087" width="18.33203125" style="18" hidden="1"/>
    <col min="14088" max="14088" width="3" style="18" hidden="1"/>
    <col min="14089" max="14338" width="9.109375" style="18" hidden="1"/>
    <col min="14339" max="14339" width="2.88671875" style="18" hidden="1"/>
    <col min="14340" max="14340" width="3.109375" style="18" hidden="1"/>
    <col min="14341" max="14341" width="69.33203125" style="18" hidden="1"/>
    <col min="14342" max="14343" width="18.33203125" style="18" hidden="1"/>
    <col min="14344" max="14344" width="3" style="18" hidden="1"/>
    <col min="14345" max="14594" width="9.109375" style="18" hidden="1"/>
    <col min="14595" max="14595" width="2.88671875" style="18" hidden="1"/>
    <col min="14596" max="14596" width="3.109375" style="18" hidden="1"/>
    <col min="14597" max="14597" width="69.33203125" style="18" hidden="1"/>
    <col min="14598" max="14599" width="18.33203125" style="18" hidden="1"/>
    <col min="14600" max="14600" width="3" style="18" hidden="1"/>
    <col min="14601" max="14850" width="9.109375" style="18" hidden="1"/>
    <col min="14851" max="14851" width="2.88671875" style="18" hidden="1"/>
    <col min="14852" max="14852" width="3.109375" style="18" hidden="1"/>
    <col min="14853" max="14853" width="69.33203125" style="18" hidden="1"/>
    <col min="14854" max="14855" width="18.33203125" style="18" hidden="1"/>
    <col min="14856" max="14856" width="3" style="18" hidden="1"/>
    <col min="14857" max="15106" width="9.109375" style="18" hidden="1"/>
    <col min="15107" max="15107" width="2.88671875" style="18" hidden="1"/>
    <col min="15108" max="15108" width="3.109375" style="18" hidden="1"/>
    <col min="15109" max="15109" width="69.33203125" style="18" hidden="1"/>
    <col min="15110" max="15111" width="18.33203125" style="18" hidden="1"/>
    <col min="15112" max="15112" width="3" style="18" hidden="1"/>
    <col min="15113" max="15362" width="9.109375" style="18" hidden="1"/>
    <col min="15363" max="15363" width="2.88671875" style="18" hidden="1"/>
    <col min="15364" max="15364" width="3.109375" style="18" hidden="1"/>
    <col min="15365" max="15365" width="69.33203125" style="18" hidden="1"/>
    <col min="15366" max="15367" width="18.33203125" style="18" hidden="1"/>
    <col min="15368" max="15368" width="3" style="18" hidden="1"/>
    <col min="15369" max="15618" width="9.109375" style="18" hidden="1"/>
    <col min="15619" max="15619" width="2.88671875" style="18" hidden="1"/>
    <col min="15620" max="15620" width="3.109375" style="18" hidden="1"/>
    <col min="15621" max="15621" width="69.33203125" style="18" hidden="1"/>
    <col min="15622" max="15623" width="18.33203125" style="18" hidden="1"/>
    <col min="15624" max="15624" width="3" style="18" hidden="1"/>
    <col min="15625" max="15874" width="9.109375" style="18" hidden="1"/>
    <col min="15875" max="15875" width="2.88671875" style="18" hidden="1"/>
    <col min="15876" max="15876" width="3.109375" style="18" hidden="1"/>
    <col min="15877" max="15877" width="69.33203125" style="18" hidden="1"/>
    <col min="15878" max="15879" width="18.33203125" style="18" hidden="1"/>
    <col min="15880" max="15880" width="3" style="18" hidden="1"/>
    <col min="15881" max="16130" width="9.109375" style="18" hidden="1"/>
    <col min="16131" max="16131" width="2.88671875" style="18" hidden="1"/>
    <col min="16132" max="16132" width="3.109375" style="18" hidden="1"/>
    <col min="16133" max="16133" width="69.33203125" style="18" hidden="1"/>
    <col min="16134" max="16135" width="18.33203125" style="18" hidden="1"/>
    <col min="16136" max="16137" width="3" style="18" hidden="1"/>
    <col min="16138" max="16382" width="9.109375" style="18" hidden="1"/>
    <col min="16383" max="16383" width="6" style="18" hidden="1" customWidth="1"/>
    <col min="16384" max="16384" width="6.109375" style="18" hidden="1" customWidth="1"/>
  </cols>
  <sheetData>
    <row r="1" spans="2:7" ht="15" x14ac:dyDescent="0.35">
      <c r="B1" s="26"/>
      <c r="C1" s="24"/>
      <c r="D1" s="24"/>
      <c r="E1" s="24"/>
      <c r="F1" s="24"/>
      <c r="G1" s="24"/>
    </row>
    <row r="2" spans="2:7" ht="15" x14ac:dyDescent="0.35">
      <c r="B2" s="25"/>
      <c r="C2" s="24"/>
      <c r="D2" s="24"/>
      <c r="E2" s="24"/>
      <c r="F2" s="24"/>
      <c r="G2" s="24"/>
    </row>
    <row r="3" spans="2:7" s="19" customFormat="1" ht="15" x14ac:dyDescent="0.35">
      <c r="B3" s="27"/>
      <c r="C3" s="27"/>
      <c r="D3" s="28"/>
      <c r="E3" s="28"/>
      <c r="F3" s="28"/>
    </row>
    <row r="4" spans="2:7" s="19" customFormat="1" ht="24" customHeight="1" x14ac:dyDescent="0.4">
      <c r="B4" s="27"/>
      <c r="C4" s="69"/>
      <c r="D4" s="270" t="s">
        <v>143</v>
      </c>
      <c r="E4" s="270"/>
      <c r="F4" s="270"/>
      <c r="G4" s="270"/>
    </row>
    <row r="5" spans="2:7" s="19" customFormat="1" ht="24" customHeight="1" x14ac:dyDescent="0.35">
      <c r="B5" s="27"/>
      <c r="C5" s="193" t="s">
        <v>222</v>
      </c>
      <c r="D5" s="264" t="s">
        <v>144</v>
      </c>
      <c r="E5" s="265"/>
      <c r="F5" s="264" t="s">
        <v>145</v>
      </c>
      <c r="G5" s="264"/>
    </row>
    <row r="6" spans="2:7" ht="27" customHeight="1" x14ac:dyDescent="0.35">
      <c r="B6" s="67"/>
      <c r="C6" s="36" t="s">
        <v>146</v>
      </c>
      <c r="D6" s="65">
        <v>46022</v>
      </c>
      <c r="E6" s="65">
        <v>45657</v>
      </c>
      <c r="F6" s="65">
        <v>46022</v>
      </c>
      <c r="G6" s="65">
        <v>45657</v>
      </c>
    </row>
    <row r="7" spans="2:7" ht="21.75" customHeight="1" x14ac:dyDescent="0.35">
      <c r="B7" s="29"/>
      <c r="C7" s="30" t="s">
        <v>147</v>
      </c>
      <c r="D7" s="73">
        <v>55753.727872204297</v>
      </c>
      <c r="E7" s="74">
        <v>75874.773109886679</v>
      </c>
      <c r="F7" s="73">
        <v>-171100.32603178799</v>
      </c>
      <c r="G7" s="73">
        <v>-146366.84015093342</v>
      </c>
    </row>
    <row r="8" spans="2:7" ht="21.75" customHeight="1" x14ac:dyDescent="0.35">
      <c r="B8" s="29"/>
      <c r="C8" s="30" t="s">
        <v>148</v>
      </c>
      <c r="D8" s="73">
        <v>-63066.096506506503</v>
      </c>
      <c r="E8" s="74">
        <v>-84747.827610047039</v>
      </c>
      <c r="F8" s="73">
        <v>171100.32603178799</v>
      </c>
      <c r="G8" s="73">
        <v>146366.84015093342</v>
      </c>
    </row>
    <row r="9" spans="2:7" ht="21.75" customHeight="1" x14ac:dyDescent="0.35">
      <c r="B9" s="29"/>
      <c r="C9" s="30" t="s">
        <v>149</v>
      </c>
      <c r="D9" s="73" t="s">
        <v>57</v>
      </c>
      <c r="E9" s="74" t="s">
        <v>57</v>
      </c>
      <c r="F9" s="93"/>
      <c r="G9" s="93"/>
    </row>
    <row r="10" spans="2:7" ht="21.75" customHeight="1" x14ac:dyDescent="0.35">
      <c r="B10" s="29"/>
      <c r="C10" s="30" t="s">
        <v>150</v>
      </c>
      <c r="D10" s="73" t="s">
        <v>57</v>
      </c>
      <c r="E10" s="74" t="s">
        <v>57</v>
      </c>
      <c r="F10" s="93"/>
      <c r="G10" s="93"/>
    </row>
    <row r="11" spans="2:7" ht="21.75" customHeight="1" x14ac:dyDescent="0.35">
      <c r="B11" s="29"/>
      <c r="C11" s="30" t="s">
        <v>151</v>
      </c>
      <c r="D11" s="73" t="s">
        <v>57</v>
      </c>
      <c r="E11" s="74" t="s">
        <v>57</v>
      </c>
      <c r="F11" s="93"/>
      <c r="G11" s="93"/>
    </row>
    <row r="12" spans="2:7" ht="21.75" customHeight="1" x14ac:dyDescent="0.35">
      <c r="B12" s="29"/>
      <c r="C12" s="30" t="s">
        <v>152</v>
      </c>
      <c r="D12" s="73" t="s">
        <v>57</v>
      </c>
      <c r="E12" s="74" t="s">
        <v>57</v>
      </c>
      <c r="F12" s="93"/>
      <c r="G12" s="93"/>
    </row>
    <row r="13" spans="2:7" ht="22.5" customHeight="1" x14ac:dyDescent="0.35">
      <c r="B13" s="68"/>
      <c r="C13" s="33" t="s">
        <v>153</v>
      </c>
      <c r="D13" s="34">
        <f>+MAX(D7:D8)</f>
        <v>55753.727872204297</v>
      </c>
      <c r="E13" s="66">
        <f>+MAX(E7:E8)</f>
        <v>75874.773109886679</v>
      </c>
      <c r="F13" s="34">
        <f>+MAX(F7:F8)</f>
        <v>171100.32603178799</v>
      </c>
      <c r="G13" s="34">
        <f>+MAX(G7:G8)</f>
        <v>146366.84015093342</v>
      </c>
    </row>
    <row r="14" spans="2:7" ht="27" customHeight="1" x14ac:dyDescent="0.35">
      <c r="B14" s="67"/>
      <c r="C14" s="36"/>
      <c r="D14" s="264">
        <f>D6</f>
        <v>46022</v>
      </c>
      <c r="E14" s="265"/>
      <c r="F14" s="266">
        <f>E6</f>
        <v>45657</v>
      </c>
      <c r="G14" s="264"/>
    </row>
    <row r="15" spans="2:7" ht="22.5" customHeight="1" x14ac:dyDescent="0.35">
      <c r="B15" s="68"/>
      <c r="C15" s="33" t="s">
        <v>154</v>
      </c>
      <c r="D15" s="267">
        <v>3423710</v>
      </c>
      <c r="E15" s="268"/>
      <c r="F15" s="269">
        <v>3002519</v>
      </c>
      <c r="G15" s="267"/>
    </row>
    <row r="16" spans="2:7" s="22" customFormat="1" ht="12.75" customHeight="1" x14ac:dyDescent="0.3">
      <c r="B16" s="61" t="s">
        <v>155</v>
      </c>
      <c r="C16" s="38"/>
      <c r="D16" s="38"/>
      <c r="E16" s="38"/>
      <c r="F16" s="38"/>
      <c r="G16" s="38"/>
    </row>
    <row r="17" spans="2:7" s="22" customFormat="1" ht="12.75" customHeight="1" x14ac:dyDescent="0.3">
      <c r="B17" s="61" t="s">
        <v>156</v>
      </c>
      <c r="C17" s="38"/>
      <c r="D17" s="38"/>
      <c r="E17" s="38"/>
      <c r="F17" s="38"/>
      <c r="G17" s="38"/>
    </row>
  </sheetData>
  <mergeCells count="7">
    <mergeCell ref="D14:E14"/>
    <mergeCell ref="F14:G14"/>
    <mergeCell ref="D15:E15"/>
    <mergeCell ref="F15:G15"/>
    <mergeCell ref="D4:G4"/>
    <mergeCell ref="D5:E5"/>
    <mergeCell ref="F5:G5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</headerFooter>
  <ignoredErrors>
    <ignoredError sqref="D13 E13:G13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BC3F-3F69-44EA-BE18-F94046720D3A}">
  <sheetPr>
    <pageSetUpPr fitToPage="1"/>
  </sheetPr>
  <dimension ref="A1:R50"/>
  <sheetViews>
    <sheetView showGridLines="0" topLeftCell="A11" zoomScale="90" zoomScaleNormal="90" workbookViewId="0">
      <selection activeCell="C28" sqref="C28"/>
    </sheetView>
  </sheetViews>
  <sheetFormatPr defaultColWidth="0" defaultRowHeight="19.5" customHeight="1" zeroHeight="1" x14ac:dyDescent="0.3"/>
  <cols>
    <col min="1" max="1" width="1.6640625" style="7" customWidth="1"/>
    <col min="2" max="2" width="5.6640625" style="16" customWidth="1"/>
    <col min="3" max="3" width="54.88671875" style="17" customWidth="1"/>
    <col min="4" max="8" width="10.6640625" style="17" customWidth="1"/>
    <col min="9" max="13" width="10.6640625" style="7" customWidth="1"/>
    <col min="14" max="14" width="12.6640625" style="7" customWidth="1"/>
    <col min="15" max="15" width="2.6640625" style="7" customWidth="1"/>
    <col min="16" max="18" width="0" style="7" hidden="1" customWidth="1"/>
    <col min="19" max="16384" width="9.109375" style="7" hidden="1"/>
  </cols>
  <sheetData>
    <row r="1" spans="1:15" ht="19.5" customHeight="1" x14ac:dyDescent="0.3">
      <c r="A1" s="8"/>
      <c r="B1" s="5"/>
      <c r="C1" s="6"/>
      <c r="D1" s="6"/>
      <c r="E1" s="6"/>
      <c r="F1" s="6"/>
      <c r="G1" s="6"/>
      <c r="H1" s="6"/>
      <c r="I1" s="62"/>
      <c r="J1" s="10"/>
      <c r="K1" s="10"/>
      <c r="L1" s="10"/>
      <c r="M1" s="10"/>
      <c r="N1" s="10"/>
      <c r="O1" s="4"/>
    </row>
    <row r="2" spans="1:15" ht="19.5" customHeight="1" x14ac:dyDescent="0.3">
      <c r="A2" s="4"/>
      <c r="B2" s="56"/>
      <c r="C2" s="6"/>
      <c r="D2" s="6"/>
      <c r="E2" s="6"/>
      <c r="F2" s="6"/>
      <c r="G2" s="6"/>
      <c r="H2" s="6"/>
      <c r="I2" s="10"/>
      <c r="J2" s="10"/>
      <c r="K2" s="10"/>
      <c r="L2" s="10"/>
      <c r="M2" s="10"/>
      <c r="N2" s="10"/>
      <c r="O2" s="4"/>
    </row>
    <row r="3" spans="1:15" ht="19.5" customHeight="1" x14ac:dyDescent="0.3">
      <c r="A3" s="4"/>
      <c r="B3" s="9"/>
      <c r="C3" s="6"/>
      <c r="D3" s="6"/>
      <c r="E3" s="6"/>
      <c r="F3" s="6"/>
      <c r="G3" s="6"/>
      <c r="H3" s="6"/>
      <c r="I3" s="11"/>
      <c r="J3" s="11"/>
      <c r="K3" s="4"/>
      <c r="L3" s="4"/>
      <c r="M3" s="4"/>
      <c r="N3" s="12"/>
      <c r="O3" s="4"/>
    </row>
    <row r="4" spans="1:15" ht="19.5" customHeight="1" x14ac:dyDescent="0.3">
      <c r="A4" s="4"/>
      <c r="B4" s="273" t="s">
        <v>222</v>
      </c>
      <c r="C4" s="273"/>
      <c r="D4" s="60" t="s">
        <v>19</v>
      </c>
      <c r="E4" s="60" t="s">
        <v>20</v>
      </c>
      <c r="F4" s="60" t="s">
        <v>21</v>
      </c>
      <c r="G4" s="60" t="s">
        <v>22</v>
      </c>
      <c r="H4" s="60" t="s">
        <v>23</v>
      </c>
      <c r="I4" s="60" t="s">
        <v>75</v>
      </c>
      <c r="J4" s="60" t="s">
        <v>76</v>
      </c>
      <c r="K4" s="60" t="s">
        <v>107</v>
      </c>
      <c r="L4" s="60" t="s">
        <v>112</v>
      </c>
      <c r="M4" s="60" t="s">
        <v>157</v>
      </c>
      <c r="N4" s="60" t="s">
        <v>158</v>
      </c>
      <c r="O4" s="4"/>
    </row>
    <row r="5" spans="1:15" ht="32.25" customHeight="1" x14ac:dyDescent="0.3">
      <c r="A5" s="4"/>
      <c r="B5" s="273"/>
      <c r="C5" s="273"/>
      <c r="D5" s="271">
        <v>2025</v>
      </c>
      <c r="E5" s="271">
        <v>2024</v>
      </c>
      <c r="F5" s="271">
        <v>2023</v>
      </c>
      <c r="G5" s="271">
        <v>2022</v>
      </c>
      <c r="H5" s="271">
        <v>2021</v>
      </c>
      <c r="I5" s="271">
        <v>2020</v>
      </c>
      <c r="J5" s="271">
        <v>2019</v>
      </c>
      <c r="K5" s="271">
        <v>2018</v>
      </c>
      <c r="L5" s="271">
        <v>2017</v>
      </c>
      <c r="M5" s="271">
        <v>2016</v>
      </c>
      <c r="N5" s="271" t="s">
        <v>159</v>
      </c>
      <c r="O5" s="4"/>
    </row>
    <row r="6" spans="1:15" ht="25.5" customHeight="1" x14ac:dyDescent="0.3">
      <c r="A6" s="4"/>
      <c r="B6" s="273"/>
      <c r="C6" s="273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4"/>
    </row>
    <row r="7" spans="1:15" ht="19.5" customHeight="1" thickBot="1" x14ac:dyDescent="0.35">
      <c r="A7" s="4"/>
      <c r="B7" s="13"/>
      <c r="C7" s="2" t="s">
        <v>160</v>
      </c>
      <c r="D7" s="2"/>
      <c r="E7" s="2"/>
      <c r="F7" s="2"/>
      <c r="G7" s="2"/>
      <c r="H7" s="2"/>
      <c r="I7" s="88"/>
      <c r="J7" s="88"/>
      <c r="K7" s="13"/>
      <c r="L7" s="13"/>
      <c r="M7" s="13"/>
      <c r="N7" s="13"/>
      <c r="O7" s="4"/>
    </row>
    <row r="8" spans="1:15" ht="19.5" customHeight="1" x14ac:dyDescent="0.3">
      <c r="A8" s="4"/>
      <c r="B8" s="5">
        <v>1</v>
      </c>
      <c r="C8" s="6" t="s">
        <v>161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4"/>
    </row>
    <row r="9" spans="1:15" ht="19.5" customHeight="1" x14ac:dyDescent="0.3">
      <c r="A9" s="4"/>
      <c r="B9" s="5">
        <v>2</v>
      </c>
      <c r="C9" s="6" t="s">
        <v>162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4"/>
    </row>
    <row r="10" spans="1:15" ht="30" x14ac:dyDescent="0.3">
      <c r="A10" s="4"/>
      <c r="B10" s="5">
        <v>3</v>
      </c>
      <c r="C10" s="6" t="s">
        <v>163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4"/>
    </row>
    <row r="11" spans="1:15" ht="19.5" customHeight="1" x14ac:dyDescent="0.3">
      <c r="A11" s="4"/>
      <c r="B11" s="5">
        <v>4</v>
      </c>
      <c r="C11" s="6" t="s">
        <v>164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4"/>
    </row>
    <row r="12" spans="1:15" ht="19.5" customHeight="1" x14ac:dyDescent="0.3">
      <c r="A12" s="4"/>
      <c r="B12" s="89">
        <v>5</v>
      </c>
      <c r="C12" s="90" t="s">
        <v>165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4"/>
    </row>
    <row r="13" spans="1:15" ht="19.5" customHeight="1" thickBot="1" x14ac:dyDescent="0.35">
      <c r="A13" s="4"/>
      <c r="B13" s="13"/>
      <c r="C13" s="2" t="s">
        <v>166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4"/>
    </row>
    <row r="14" spans="1:15" ht="19.5" customHeight="1" x14ac:dyDescent="0.3">
      <c r="A14" s="4"/>
      <c r="B14" s="5">
        <v>6</v>
      </c>
      <c r="C14" s="6" t="s">
        <v>161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4"/>
    </row>
    <row r="15" spans="1:15" ht="19.5" customHeight="1" x14ac:dyDescent="0.3">
      <c r="A15" s="4"/>
      <c r="B15" s="5">
        <v>7</v>
      </c>
      <c r="C15" s="6" t="s">
        <v>162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4"/>
    </row>
    <row r="16" spans="1:15" ht="30" x14ac:dyDescent="0.3">
      <c r="A16" s="4"/>
      <c r="B16" s="5">
        <v>8</v>
      </c>
      <c r="C16" s="6" t="s">
        <v>163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4"/>
    </row>
    <row r="17" spans="1:15" ht="19.5" customHeight="1" x14ac:dyDescent="0.3">
      <c r="A17" s="4"/>
      <c r="B17" s="5">
        <v>9</v>
      </c>
      <c r="C17" s="6" t="s">
        <v>164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4"/>
    </row>
    <row r="18" spans="1:15" ht="19.5" customHeight="1" x14ac:dyDescent="0.3">
      <c r="A18" s="4"/>
      <c r="B18" s="89">
        <v>10</v>
      </c>
      <c r="C18" s="90" t="s">
        <v>165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4"/>
    </row>
    <row r="19" spans="1:15" ht="19.5" customHeight="1" thickBot="1" x14ac:dyDescent="0.35">
      <c r="A19" s="4"/>
      <c r="B19" s="13"/>
      <c r="C19" s="2" t="s">
        <v>167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4"/>
    </row>
    <row r="20" spans="1:15" ht="30" x14ac:dyDescent="0.3">
      <c r="A20" s="4"/>
      <c r="B20" s="5">
        <v>13</v>
      </c>
      <c r="C20" s="6" t="s">
        <v>168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4"/>
    </row>
    <row r="21" spans="1:15" ht="19.5" customHeight="1" x14ac:dyDescent="0.3">
      <c r="A21" s="4"/>
      <c r="B21" s="5"/>
      <c r="C21" s="6"/>
      <c r="D21" s="6"/>
      <c r="E21" s="6"/>
      <c r="F21" s="6"/>
      <c r="G21" s="6"/>
      <c r="H21" s="6"/>
      <c r="I21" s="4"/>
      <c r="J21" s="4"/>
      <c r="K21" s="4"/>
      <c r="L21" s="4"/>
      <c r="M21" s="4"/>
      <c r="N21" s="4"/>
      <c r="O21" s="4"/>
    </row>
    <row r="28" spans="1:15" ht="19.5" customHeight="1" x14ac:dyDescent="0.3">
      <c r="C28" s="194" t="s">
        <v>317</v>
      </c>
    </row>
    <row r="29" spans="1:15" ht="19.5" customHeight="1" x14ac:dyDescent="0.3"/>
    <row r="30" spans="1:15" ht="19.5" hidden="1" customHeight="1" x14ac:dyDescent="0.3">
      <c r="B30" s="7"/>
      <c r="C30" s="7"/>
      <c r="D30" s="7"/>
      <c r="E30" s="7"/>
      <c r="F30" s="7"/>
      <c r="G30" s="7"/>
      <c r="H30" s="7"/>
    </row>
    <row r="31" spans="1:15" ht="19.5" hidden="1" customHeight="1" x14ac:dyDescent="0.3">
      <c r="B31" s="7"/>
      <c r="C31" s="7"/>
      <c r="D31" s="7"/>
      <c r="E31" s="7"/>
      <c r="F31" s="7"/>
      <c r="G31" s="7"/>
      <c r="H31" s="7"/>
    </row>
    <row r="32" spans="1:15" ht="19.5" hidden="1" customHeight="1" x14ac:dyDescent="0.3">
      <c r="B32" s="7"/>
      <c r="C32" s="7"/>
      <c r="D32" s="7"/>
      <c r="E32" s="7"/>
      <c r="F32" s="7"/>
      <c r="G32" s="7"/>
      <c r="H32" s="7"/>
    </row>
    <row r="33" spans="2:8" ht="19.5" hidden="1" customHeight="1" x14ac:dyDescent="0.3">
      <c r="B33" s="7"/>
      <c r="C33" s="7"/>
      <c r="D33" s="7"/>
      <c r="E33" s="7"/>
      <c r="F33" s="7"/>
      <c r="G33" s="7"/>
      <c r="H33" s="7"/>
    </row>
    <row r="34" spans="2:8" ht="19.5" hidden="1" customHeight="1" x14ac:dyDescent="0.3">
      <c r="B34" s="7"/>
      <c r="C34" s="7"/>
      <c r="D34" s="7"/>
      <c r="E34" s="7"/>
      <c r="F34" s="7"/>
      <c r="G34" s="7"/>
      <c r="H34" s="7"/>
    </row>
    <row r="35" spans="2:8" ht="19.5" hidden="1" customHeight="1" x14ac:dyDescent="0.3">
      <c r="B35" s="7"/>
      <c r="C35" s="7"/>
      <c r="D35" s="7"/>
      <c r="E35" s="7"/>
      <c r="F35" s="7"/>
      <c r="G35" s="7"/>
      <c r="H35" s="7"/>
    </row>
    <row r="36" spans="2:8" ht="19.5" hidden="1" customHeight="1" x14ac:dyDescent="0.3">
      <c r="B36" s="7"/>
      <c r="C36" s="7"/>
      <c r="D36" s="7"/>
      <c r="E36" s="7"/>
      <c r="F36" s="7"/>
      <c r="G36" s="7"/>
      <c r="H36" s="7"/>
    </row>
    <row r="37" spans="2:8" ht="19.5" hidden="1" customHeight="1" x14ac:dyDescent="0.3">
      <c r="B37" s="7"/>
      <c r="C37" s="7"/>
      <c r="D37" s="7"/>
      <c r="E37" s="7"/>
      <c r="F37" s="7"/>
      <c r="G37" s="7"/>
      <c r="H37" s="7"/>
    </row>
    <row r="38" spans="2:8" ht="19.5" hidden="1" customHeight="1" x14ac:dyDescent="0.3">
      <c r="B38" s="7"/>
      <c r="C38" s="7"/>
      <c r="D38" s="7"/>
      <c r="E38" s="7"/>
      <c r="F38" s="7"/>
      <c r="G38" s="7"/>
      <c r="H38" s="7"/>
    </row>
    <row r="39" spans="2:8" ht="19.5" hidden="1" customHeight="1" x14ac:dyDescent="0.3">
      <c r="B39" s="7"/>
      <c r="C39" s="7"/>
      <c r="D39" s="7"/>
      <c r="E39" s="7"/>
      <c r="F39" s="7"/>
      <c r="G39" s="7"/>
      <c r="H39" s="7"/>
    </row>
    <row r="40" spans="2:8" ht="19.5" hidden="1" customHeight="1" x14ac:dyDescent="0.3">
      <c r="B40" s="7"/>
      <c r="C40" s="7"/>
      <c r="D40" s="7"/>
      <c r="E40" s="7"/>
      <c r="F40" s="7"/>
      <c r="G40" s="7"/>
      <c r="H40" s="7"/>
    </row>
    <row r="41" spans="2:8" ht="19.5" hidden="1" customHeight="1" x14ac:dyDescent="0.3">
      <c r="B41" s="7"/>
      <c r="C41" s="7"/>
      <c r="D41" s="7"/>
      <c r="E41" s="7"/>
      <c r="F41" s="7"/>
      <c r="G41" s="7"/>
      <c r="H41" s="7"/>
    </row>
    <row r="42" spans="2:8" ht="19.5" hidden="1" customHeight="1" x14ac:dyDescent="0.3">
      <c r="B42" s="7"/>
      <c r="C42" s="7"/>
      <c r="D42" s="7"/>
      <c r="E42" s="7"/>
      <c r="F42" s="7"/>
      <c r="G42" s="7"/>
      <c r="H42" s="7"/>
    </row>
    <row r="43" spans="2:8" ht="19.5" hidden="1" customHeight="1" x14ac:dyDescent="0.3">
      <c r="B43" s="7"/>
      <c r="C43" s="7"/>
      <c r="D43" s="7"/>
      <c r="E43" s="7"/>
      <c r="F43" s="7"/>
      <c r="G43" s="7"/>
      <c r="H43" s="7"/>
    </row>
    <row r="44" spans="2:8" ht="19.5" hidden="1" customHeight="1" x14ac:dyDescent="0.3">
      <c r="B44" s="7"/>
      <c r="C44" s="7"/>
      <c r="D44" s="7"/>
      <c r="E44" s="7"/>
      <c r="F44" s="7"/>
      <c r="G44" s="7"/>
      <c r="H44" s="7"/>
    </row>
    <row r="45" spans="2:8" ht="19.5" hidden="1" customHeight="1" x14ac:dyDescent="0.3">
      <c r="B45" s="7"/>
      <c r="C45" s="7"/>
      <c r="D45" s="7"/>
      <c r="E45" s="7"/>
      <c r="F45" s="7"/>
      <c r="G45" s="7"/>
      <c r="H45" s="7"/>
    </row>
    <row r="46" spans="2:8" ht="19.5" customHeight="1" x14ac:dyDescent="0.3"/>
    <row r="47" spans="2:8" ht="19.5" customHeight="1" x14ac:dyDescent="0.3"/>
    <row r="48" spans="2:8" ht="19.5" customHeight="1" x14ac:dyDescent="0.3"/>
    <row r="49" ht="19.5" customHeight="1" x14ac:dyDescent="0.3"/>
    <row r="50" ht="19.5" customHeight="1" x14ac:dyDescent="0.3"/>
  </sheetData>
  <mergeCells count="12">
    <mergeCell ref="N5:N6"/>
    <mergeCell ref="B4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&amp;L&amp;"Aptos"&amp;10&amp;K000000 ## Restrito ##&amp;1#_x000D_</oddHeader>
    <oddFooter>&amp;L_x000D_&amp;1#&amp;"Calibri"&amp;10&amp;K000000 PÚBLICO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4DE2-72B5-4186-86F1-4EFE2EAF8445}">
  <dimension ref="A1:G66"/>
  <sheetViews>
    <sheetView showGridLines="0" topLeftCell="A11" zoomScale="85" zoomScaleNormal="85" workbookViewId="0">
      <selection activeCell="B31" sqref="B31"/>
    </sheetView>
  </sheetViews>
  <sheetFormatPr defaultColWidth="0" defaultRowHeight="14.25" customHeight="1" zeroHeight="1" x14ac:dyDescent="0.3"/>
  <cols>
    <col min="1" max="1" width="1.6640625" style="7" customWidth="1"/>
    <col min="2" max="2" width="5" style="16" customWidth="1"/>
    <col min="3" max="3" width="70.5546875" style="16" customWidth="1"/>
    <col min="4" max="6" width="16" style="7" customWidth="1"/>
    <col min="7" max="7" width="13.6640625" style="7" customWidth="1"/>
    <col min="8" max="16384" width="9.109375" style="7" hidden="1"/>
  </cols>
  <sheetData>
    <row r="1" spans="1:7" ht="15" x14ac:dyDescent="0.3">
      <c r="A1" s="4"/>
      <c r="B1" s="26"/>
      <c r="C1" s="5"/>
      <c r="D1" s="4"/>
      <c r="E1" s="4"/>
      <c r="F1" s="4"/>
      <c r="G1" s="4"/>
    </row>
    <row r="2" spans="1:7" ht="15" x14ac:dyDescent="0.3">
      <c r="A2" s="4"/>
      <c r="B2" s="26"/>
      <c r="C2" s="5"/>
      <c r="D2" s="4"/>
      <c r="E2" s="4"/>
      <c r="F2" s="4"/>
      <c r="G2" s="4"/>
    </row>
    <row r="3" spans="1:7" ht="15" x14ac:dyDescent="0.3">
      <c r="A3" s="4"/>
      <c r="B3" s="56"/>
      <c r="C3" s="5"/>
      <c r="D3" s="4"/>
      <c r="E3" s="4"/>
      <c r="F3" s="12"/>
      <c r="G3" s="4"/>
    </row>
    <row r="4" spans="1:7" ht="15" x14ac:dyDescent="0.3">
      <c r="A4" s="4"/>
      <c r="B4" s="9"/>
      <c r="C4" s="5"/>
      <c r="D4" s="5"/>
      <c r="E4" s="4"/>
      <c r="G4" s="4"/>
    </row>
    <row r="5" spans="1:7" ht="15" x14ac:dyDescent="0.3">
      <c r="A5" s="4"/>
      <c r="B5" s="9"/>
      <c r="C5" s="5"/>
      <c r="D5" s="5"/>
      <c r="E5" s="4"/>
      <c r="G5" s="4"/>
    </row>
    <row r="6" spans="1:7" ht="15" x14ac:dyDescent="0.25">
      <c r="A6" s="4"/>
      <c r="B6" s="257"/>
      <c r="C6" s="257"/>
      <c r="D6" s="134"/>
      <c r="E6" s="195" t="s">
        <v>19</v>
      </c>
      <c r="F6" s="196" t="s">
        <v>20</v>
      </c>
      <c r="G6" s="195" t="s">
        <v>21</v>
      </c>
    </row>
    <row r="7" spans="1:7" ht="15" x14ac:dyDescent="0.3">
      <c r="A7" s="4"/>
      <c r="B7" s="214" t="s">
        <v>222</v>
      </c>
      <c r="C7" s="214"/>
      <c r="D7" s="214"/>
      <c r="E7" s="111">
        <v>45992</v>
      </c>
      <c r="F7" s="197">
        <v>45901</v>
      </c>
      <c r="G7" s="198">
        <v>45809</v>
      </c>
    </row>
    <row r="8" spans="1:7" ht="15.6" thickBot="1" x14ac:dyDescent="0.35">
      <c r="A8" s="4"/>
      <c r="B8" s="232"/>
      <c r="C8" s="232"/>
      <c r="D8" s="137"/>
      <c r="E8" s="199"/>
      <c r="F8" s="200"/>
      <c r="G8" s="201"/>
    </row>
    <row r="9" spans="1:7" ht="15.6" thickTop="1" x14ac:dyDescent="0.3">
      <c r="A9" s="4"/>
      <c r="B9" s="213" t="s">
        <v>169</v>
      </c>
      <c r="C9" s="213"/>
      <c r="D9" s="213"/>
      <c r="E9" s="213"/>
      <c r="F9" s="213"/>
      <c r="G9" s="213"/>
    </row>
    <row r="10" spans="1:7" ht="15" x14ac:dyDescent="0.3">
      <c r="A10" s="4"/>
      <c r="B10" s="214">
        <v>1</v>
      </c>
      <c r="C10" s="258" t="s">
        <v>318</v>
      </c>
      <c r="D10" s="258"/>
      <c r="E10" s="276">
        <v>385698</v>
      </c>
      <c r="F10" s="247" t="s">
        <v>139</v>
      </c>
      <c r="G10" s="218" t="s">
        <v>139</v>
      </c>
    </row>
    <row r="11" spans="1:7" ht="15" x14ac:dyDescent="0.3">
      <c r="A11" s="4"/>
      <c r="B11" s="214"/>
      <c r="C11" s="258" t="s">
        <v>319</v>
      </c>
      <c r="D11" s="258"/>
      <c r="E11" s="276"/>
      <c r="F11" s="247"/>
      <c r="G11" s="218"/>
    </row>
    <row r="12" spans="1:7" ht="15" x14ac:dyDescent="0.3">
      <c r="A12" s="4"/>
      <c r="B12" s="110" t="s">
        <v>25</v>
      </c>
      <c r="C12" s="275" t="s">
        <v>170</v>
      </c>
      <c r="D12" s="275"/>
      <c r="E12" s="105">
        <v>2203117</v>
      </c>
      <c r="F12" s="176">
        <v>2003747</v>
      </c>
      <c r="G12" s="105">
        <v>1750871</v>
      </c>
    </row>
    <row r="13" spans="1:7" ht="15" x14ac:dyDescent="0.3">
      <c r="A13" s="4"/>
      <c r="B13" s="110" t="s">
        <v>121</v>
      </c>
      <c r="C13" s="275" t="s">
        <v>171</v>
      </c>
      <c r="D13" s="275"/>
      <c r="E13" s="105">
        <v>-1217286</v>
      </c>
      <c r="F13" s="176">
        <v>-1065285</v>
      </c>
      <c r="G13" s="105">
        <v>-880103</v>
      </c>
    </row>
    <row r="14" spans="1:7" ht="15" x14ac:dyDescent="0.3">
      <c r="A14" s="4"/>
      <c r="B14" s="110" t="s">
        <v>123</v>
      </c>
      <c r="C14" s="275" t="s">
        <v>172</v>
      </c>
      <c r="D14" s="275"/>
      <c r="E14" s="105">
        <v>15836202</v>
      </c>
      <c r="F14" s="176">
        <v>14649807</v>
      </c>
      <c r="G14" s="105">
        <v>11944712</v>
      </c>
    </row>
    <row r="15" spans="1:7" ht="15" x14ac:dyDescent="0.3">
      <c r="A15" s="4"/>
      <c r="B15" s="110" t="s">
        <v>125</v>
      </c>
      <c r="C15" s="275" t="s">
        <v>173</v>
      </c>
      <c r="D15" s="275"/>
      <c r="E15" s="105">
        <v>75865</v>
      </c>
      <c r="F15" s="176">
        <v>71669</v>
      </c>
      <c r="G15" s="105">
        <v>54867</v>
      </c>
    </row>
    <row r="16" spans="1:7" ht="15" x14ac:dyDescent="0.3">
      <c r="A16" s="4"/>
      <c r="B16" s="110">
        <v>2</v>
      </c>
      <c r="C16" s="258" t="s">
        <v>320</v>
      </c>
      <c r="D16" s="258"/>
      <c r="E16" s="105">
        <v>338520</v>
      </c>
      <c r="F16" s="157" t="s">
        <v>139</v>
      </c>
      <c r="G16" s="106" t="s">
        <v>139</v>
      </c>
    </row>
    <row r="17" spans="1:7" ht="15" x14ac:dyDescent="0.3">
      <c r="A17" s="4"/>
      <c r="B17" s="110" t="s">
        <v>28</v>
      </c>
      <c r="C17" s="275" t="s">
        <v>174</v>
      </c>
      <c r="D17" s="275"/>
      <c r="E17" s="105">
        <v>121094</v>
      </c>
      <c r="F17" s="176">
        <v>105456</v>
      </c>
      <c r="G17" s="105">
        <v>76763</v>
      </c>
    </row>
    <row r="18" spans="1:7" ht="15" x14ac:dyDescent="0.3">
      <c r="A18" s="4"/>
      <c r="B18" s="110" t="s">
        <v>83</v>
      </c>
      <c r="C18" s="275" t="s">
        <v>175</v>
      </c>
      <c r="D18" s="275"/>
      <c r="E18" s="105">
        <v>-62887</v>
      </c>
      <c r="F18" s="176">
        <v>-57069</v>
      </c>
      <c r="G18" s="105">
        <v>-33846</v>
      </c>
    </row>
    <row r="19" spans="1:7" ht="15" x14ac:dyDescent="0.3">
      <c r="A19" s="4"/>
      <c r="B19" s="110" t="s">
        <v>176</v>
      </c>
      <c r="C19" s="275" t="s">
        <v>177</v>
      </c>
      <c r="D19" s="275"/>
      <c r="E19" s="105">
        <v>90284</v>
      </c>
      <c r="F19" s="176">
        <v>98424</v>
      </c>
      <c r="G19" s="105">
        <v>111292</v>
      </c>
    </row>
    <row r="20" spans="1:7" ht="15" x14ac:dyDescent="0.3">
      <c r="A20" s="4"/>
      <c r="B20" s="110" t="s">
        <v>178</v>
      </c>
      <c r="C20" s="275" t="s">
        <v>179</v>
      </c>
      <c r="D20" s="275"/>
      <c r="E20" s="105">
        <v>-239847</v>
      </c>
      <c r="F20" s="176">
        <v>-240590</v>
      </c>
      <c r="G20" s="105">
        <v>-231812</v>
      </c>
    </row>
    <row r="21" spans="1:7" ht="15" x14ac:dyDescent="0.3">
      <c r="A21" s="4"/>
      <c r="B21" s="110">
        <v>3</v>
      </c>
      <c r="C21" s="258" t="s">
        <v>180</v>
      </c>
      <c r="D21" s="258"/>
      <c r="E21" s="106">
        <v>141</v>
      </c>
      <c r="F21" s="157" t="s">
        <v>139</v>
      </c>
      <c r="G21" s="106" t="s">
        <v>139</v>
      </c>
    </row>
    <row r="22" spans="1:7" ht="15" x14ac:dyDescent="0.3">
      <c r="A22" s="4"/>
      <c r="B22" s="110" t="s">
        <v>31</v>
      </c>
      <c r="C22" s="275" t="s">
        <v>181</v>
      </c>
      <c r="D22" s="275"/>
      <c r="E22" s="106">
        <v>-38</v>
      </c>
      <c r="F22" s="157" t="s">
        <v>139</v>
      </c>
      <c r="G22" s="106" t="s">
        <v>139</v>
      </c>
    </row>
    <row r="23" spans="1:7" ht="15" x14ac:dyDescent="0.3">
      <c r="A23" s="4"/>
      <c r="B23" s="110" t="s">
        <v>33</v>
      </c>
      <c r="C23" s="258" t="s">
        <v>321</v>
      </c>
      <c r="D23" s="258"/>
      <c r="E23" s="106">
        <v>386</v>
      </c>
      <c r="F23" s="157" t="s">
        <v>139</v>
      </c>
      <c r="G23" s="106" t="s">
        <v>139</v>
      </c>
    </row>
    <row r="24" spans="1:7" ht="15" x14ac:dyDescent="0.3">
      <c r="A24" s="4"/>
      <c r="B24" s="110">
        <v>4</v>
      </c>
      <c r="C24" s="258" t="s">
        <v>182</v>
      </c>
      <c r="D24" s="258"/>
      <c r="E24" s="105">
        <v>724359</v>
      </c>
      <c r="F24" s="157" t="s">
        <v>139</v>
      </c>
      <c r="G24" s="106" t="s">
        <v>139</v>
      </c>
    </row>
    <row r="25" spans="1:7" ht="15" x14ac:dyDescent="0.3">
      <c r="A25" s="4"/>
      <c r="B25" s="110">
        <v>5</v>
      </c>
      <c r="C25" s="258" t="s">
        <v>183</v>
      </c>
      <c r="D25" s="258"/>
      <c r="E25" s="105">
        <v>86923</v>
      </c>
      <c r="F25" s="157" t="s">
        <v>139</v>
      </c>
      <c r="G25" s="106" t="s">
        <v>139</v>
      </c>
    </row>
    <row r="26" spans="1:7" ht="15" x14ac:dyDescent="0.3">
      <c r="A26" s="4"/>
      <c r="B26" s="274" t="s">
        <v>184</v>
      </c>
      <c r="C26" s="274"/>
      <c r="D26" s="274"/>
      <c r="E26" s="274"/>
      <c r="F26" s="274"/>
      <c r="G26" s="274"/>
    </row>
    <row r="27" spans="1:7" ht="15" x14ac:dyDescent="0.3">
      <c r="A27" s="4"/>
      <c r="B27" s="110" t="s">
        <v>322</v>
      </c>
      <c r="C27" s="258" t="s">
        <v>185</v>
      </c>
      <c r="D27" s="258"/>
      <c r="E27" s="106" t="s">
        <v>139</v>
      </c>
      <c r="F27" s="157" t="s">
        <v>139</v>
      </c>
      <c r="G27" s="106" t="s">
        <v>139</v>
      </c>
    </row>
    <row r="28" spans="1:7" ht="15.6" thickBot="1" x14ac:dyDescent="0.35">
      <c r="A28" s="4"/>
      <c r="B28" s="127" t="s">
        <v>186</v>
      </c>
      <c r="C28" s="259" t="s">
        <v>187</v>
      </c>
      <c r="D28" s="259"/>
      <c r="E28" s="129" t="s">
        <v>139</v>
      </c>
      <c r="F28" s="156" t="s">
        <v>139</v>
      </c>
      <c r="G28" s="129" t="s">
        <v>139</v>
      </c>
    </row>
    <row r="29" spans="1:7" ht="15.6" thickTop="1" x14ac:dyDescent="0.3">
      <c r="A29" s="4"/>
      <c r="B29" s="9"/>
      <c r="C29" s="5"/>
      <c r="D29" s="5"/>
      <c r="E29" s="4"/>
      <c r="G29" s="4"/>
    </row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62" ht="14.25" customHeight="1" x14ac:dyDescent="0.3"/>
    <row r="63" ht="14.25" customHeight="1" x14ac:dyDescent="0.3"/>
    <row r="64" ht="14.25" customHeight="1" x14ac:dyDescent="0.3"/>
    <row r="66" ht="14.25" customHeight="1" x14ac:dyDescent="0.3"/>
  </sheetData>
  <mergeCells count="27">
    <mergeCell ref="B6:C6"/>
    <mergeCell ref="B7:D7"/>
    <mergeCell ref="B8:C8"/>
    <mergeCell ref="B9:G9"/>
    <mergeCell ref="B10:B11"/>
    <mergeCell ref="C10:D10"/>
    <mergeCell ref="C11:D11"/>
    <mergeCell ref="E10:E11"/>
    <mergeCell ref="F10:F11"/>
    <mergeCell ref="G10:G11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4:D24"/>
    <mergeCell ref="C25:D25"/>
    <mergeCell ref="B26:G26"/>
    <mergeCell ref="C27:D27"/>
    <mergeCell ref="C28:D2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  <oddFooter>&amp;L_x000D_&amp;1#&amp;"Calibri"&amp;10&amp;K000000 PÚBLICO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FDA8-AAA7-4A8C-B8DA-6021EFFCDE22}">
  <sheetPr>
    <pageSetUpPr fitToPage="1"/>
  </sheetPr>
  <dimension ref="A1:F50"/>
  <sheetViews>
    <sheetView showGridLines="0" zoomScale="93" zoomScaleNormal="93" workbookViewId="0">
      <selection activeCell="C10" sqref="C10"/>
    </sheetView>
  </sheetViews>
  <sheetFormatPr defaultColWidth="0" defaultRowHeight="0" customHeight="1" zeroHeight="1" x14ac:dyDescent="0.3"/>
  <cols>
    <col min="1" max="1" width="1.6640625" style="7" customWidth="1"/>
    <col min="2" max="2" width="5.6640625" style="16" customWidth="1"/>
    <col min="3" max="3" width="47.5546875" style="17" customWidth="1"/>
    <col min="4" max="5" width="17.6640625" style="7" customWidth="1"/>
    <col min="6" max="6" width="1.6640625" style="7" customWidth="1"/>
    <col min="7" max="16384" width="9.109375" style="7" hidden="1"/>
  </cols>
  <sheetData>
    <row r="1" spans="1:6" ht="15" x14ac:dyDescent="0.3">
      <c r="A1" s="4"/>
      <c r="B1" s="9"/>
      <c r="C1" s="6"/>
      <c r="D1" s="4"/>
      <c r="E1" s="4"/>
      <c r="F1" s="4"/>
    </row>
    <row r="2" spans="1:6" ht="15" x14ac:dyDescent="0.3">
      <c r="A2" s="4"/>
      <c r="B2" s="25"/>
      <c r="C2" s="6"/>
      <c r="D2" s="4"/>
      <c r="E2" s="4"/>
      <c r="F2" s="4"/>
    </row>
    <row r="3" spans="1:6" ht="15" x14ac:dyDescent="0.3">
      <c r="A3" s="4"/>
      <c r="B3" s="26"/>
      <c r="C3" s="6"/>
      <c r="D3" s="4"/>
      <c r="E3" s="4"/>
      <c r="F3" s="4"/>
    </row>
    <row r="4" spans="1:6" ht="15" x14ac:dyDescent="0.3">
      <c r="A4" s="4"/>
      <c r="B4" s="5"/>
      <c r="C4" s="6"/>
      <c r="D4" s="11"/>
      <c r="E4" s="11"/>
      <c r="F4" s="4"/>
    </row>
    <row r="5" spans="1:6" ht="18" customHeight="1" thickBot="1" x14ac:dyDescent="0.35">
      <c r="A5" s="4"/>
      <c r="B5" s="202" t="s">
        <v>222</v>
      </c>
      <c r="C5" s="203"/>
      <c r="D5" s="204" t="s">
        <v>19</v>
      </c>
      <c r="F5" s="4"/>
    </row>
    <row r="6" spans="1:6" ht="17.399999999999999" thickTop="1" x14ac:dyDescent="0.3">
      <c r="A6" s="4"/>
      <c r="B6" s="110">
        <v>1</v>
      </c>
      <c r="C6" s="120" t="s">
        <v>183</v>
      </c>
      <c r="D6" s="105">
        <v>86923</v>
      </c>
      <c r="E6" s="205"/>
      <c r="F6" s="4"/>
    </row>
    <row r="7" spans="1:6" ht="20.100000000000001" customHeight="1" x14ac:dyDescent="0.3">
      <c r="A7" s="4"/>
      <c r="B7" s="110">
        <v>2</v>
      </c>
      <c r="C7" s="120" t="s">
        <v>188</v>
      </c>
      <c r="D7" s="106">
        <v>1</v>
      </c>
      <c r="E7" s="14"/>
      <c r="F7" s="4"/>
    </row>
    <row r="8" spans="1:6" ht="20.100000000000001" customHeight="1" x14ac:dyDescent="0.3">
      <c r="A8" s="4"/>
      <c r="B8" s="110">
        <v>3</v>
      </c>
      <c r="C8" s="120" t="s">
        <v>189</v>
      </c>
      <c r="D8" s="105">
        <v>86923</v>
      </c>
      <c r="E8" s="14"/>
      <c r="F8" s="4"/>
    </row>
    <row r="9" spans="1:6" ht="18.75" customHeight="1" thickBot="1" x14ac:dyDescent="0.35">
      <c r="A9" s="4"/>
      <c r="B9" s="127">
        <v>4</v>
      </c>
      <c r="C9" s="180" t="s">
        <v>190</v>
      </c>
      <c r="D9" s="108">
        <v>1086539</v>
      </c>
      <c r="E9" s="14"/>
      <c r="F9" s="4"/>
    </row>
    <row r="10" spans="1:6" ht="18.75" customHeight="1" thickTop="1" x14ac:dyDescent="0.3">
      <c r="A10" s="4"/>
      <c r="B10" s="59"/>
      <c r="C10" s="6"/>
      <c r="D10" s="14"/>
      <c r="E10" s="14"/>
      <c r="F10" s="4"/>
    </row>
    <row r="11" spans="1:6" ht="20.100000000000001" customHeight="1" x14ac:dyDescent="0.3">
      <c r="A11" s="4"/>
      <c r="B11" s="59"/>
      <c r="C11" s="6"/>
      <c r="D11" s="14"/>
      <c r="E11" s="14"/>
      <c r="F11" s="4"/>
    </row>
    <row r="12" spans="1:6" ht="15" x14ac:dyDescent="0.3">
      <c r="A12" s="4"/>
      <c r="B12" s="5"/>
      <c r="C12" s="6"/>
      <c r="D12" s="4"/>
      <c r="E12" s="4"/>
      <c r="F12" s="4"/>
    </row>
    <row r="13" spans="1:6" ht="15" hidden="1" x14ac:dyDescent="0.3"/>
    <row r="14" spans="1:6" ht="15" hidden="1" x14ac:dyDescent="0.3"/>
    <row r="15" spans="1:6" ht="15" hidden="1" x14ac:dyDescent="0.3"/>
    <row r="16" spans="1:6" ht="15" hidden="1" x14ac:dyDescent="0.3"/>
    <row r="17" spans="2:3" ht="15" hidden="1" x14ac:dyDescent="0.3"/>
    <row r="18" spans="2:3" ht="15" hidden="1" x14ac:dyDescent="0.3"/>
    <row r="19" spans="2:3" ht="15" hidden="1" x14ac:dyDescent="0.3"/>
    <row r="20" spans="2:3" ht="15" hidden="1" x14ac:dyDescent="0.3"/>
    <row r="21" spans="2:3" ht="15" hidden="1" x14ac:dyDescent="0.3">
      <c r="B21" s="7"/>
      <c r="C21" s="7"/>
    </row>
    <row r="22" spans="2:3" ht="15" hidden="1" x14ac:dyDescent="0.3">
      <c r="B22" s="7"/>
      <c r="C22" s="7"/>
    </row>
    <row r="23" spans="2:3" ht="15" hidden="1" x14ac:dyDescent="0.3">
      <c r="B23" s="7"/>
      <c r="C23" s="7"/>
    </row>
    <row r="24" spans="2:3" ht="15" hidden="1" x14ac:dyDescent="0.3">
      <c r="B24" s="7"/>
      <c r="C24" s="7"/>
    </row>
    <row r="25" spans="2:3" ht="15" hidden="1" x14ac:dyDescent="0.3">
      <c r="B25" s="7"/>
      <c r="C25" s="7"/>
    </row>
    <row r="26" spans="2:3" ht="15" hidden="1" x14ac:dyDescent="0.3">
      <c r="B26" s="7"/>
      <c r="C26" s="7"/>
    </row>
    <row r="27" spans="2:3" ht="15" hidden="1" x14ac:dyDescent="0.3">
      <c r="B27" s="7"/>
      <c r="C27" s="7"/>
    </row>
    <row r="28" spans="2:3" ht="15" hidden="1" x14ac:dyDescent="0.3">
      <c r="B28" s="7"/>
      <c r="C28" s="7"/>
    </row>
    <row r="29" spans="2:3" ht="15" hidden="1" x14ac:dyDescent="0.3">
      <c r="B29" s="7"/>
      <c r="C29" s="7"/>
    </row>
    <row r="30" spans="2:3" ht="15" hidden="1" x14ac:dyDescent="0.3">
      <c r="B30" s="7"/>
      <c r="C30" s="7"/>
    </row>
    <row r="31" spans="2:3" ht="15" hidden="1" x14ac:dyDescent="0.3">
      <c r="B31" s="7"/>
      <c r="C31" s="7"/>
    </row>
    <row r="32" spans="2:3" ht="15" hidden="1" x14ac:dyDescent="0.3">
      <c r="B32" s="7"/>
      <c r="C32" s="7"/>
    </row>
    <row r="33" s="7" customFormat="1" ht="15" hidden="1" x14ac:dyDescent="0.3"/>
    <row r="34" s="7" customFormat="1" ht="15" hidden="1" x14ac:dyDescent="0.3"/>
    <row r="35" s="7" customFormat="1" ht="15" hidden="1" x14ac:dyDescent="0.3"/>
    <row r="36" s="7" customFormat="1" ht="15" hidden="1" x14ac:dyDescent="0.3"/>
    <row r="45" s="7" customFormat="1" ht="0" hidden="1" customHeight="1" x14ac:dyDescent="0.3"/>
    <row r="46" s="7" customFormat="1" ht="0" hidden="1" customHeight="1" x14ac:dyDescent="0.3"/>
    <row r="47" s="7" customFormat="1" ht="0" hidden="1" customHeight="1" x14ac:dyDescent="0.3"/>
    <row r="48" s="7" customFormat="1" ht="0" hidden="1" customHeight="1" x14ac:dyDescent="0.3"/>
    <row r="49" s="7" customFormat="1" ht="0" hidden="1" customHeight="1" x14ac:dyDescent="0.3"/>
    <row r="50" s="7" customFormat="1" ht="0" hidden="1" customHeight="1" x14ac:dyDescent="0.3"/>
  </sheetData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&amp;L&amp;"Aptos"&amp;10&amp;K000000 ## Restrito ##&amp;1#_x000D_</oddHeader>
    <oddFooter>&amp;L_x000D_&amp;1#&amp;"Calibri"&amp;10&amp;K000000 PÚBLICO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4B41-268F-49ED-B1DF-51E701CD53E9}">
  <dimension ref="A3:WVQ49"/>
  <sheetViews>
    <sheetView showGridLines="0" topLeftCell="A3" zoomScaleNormal="100" workbookViewId="0">
      <selection activeCell="D11" sqref="D11"/>
    </sheetView>
  </sheetViews>
  <sheetFormatPr defaultColWidth="0" defaultRowHeight="0" customHeight="1" zeroHeight="1" x14ac:dyDescent="0.3"/>
  <cols>
    <col min="1" max="1" width="1.6640625" style="22" customWidth="1"/>
    <col min="2" max="2" width="3.5546875" style="21" customWidth="1"/>
    <col min="3" max="3" width="44" style="22" customWidth="1"/>
    <col min="4" max="5" width="13.44140625" style="22" customWidth="1"/>
    <col min="6" max="6" width="1.6640625" style="22" customWidth="1"/>
    <col min="7" max="7" width="1.109375" style="22" hidden="1" customWidth="1"/>
    <col min="8" max="255" width="9.109375" style="22" hidden="1"/>
    <col min="256" max="256" width="2.88671875" style="22" hidden="1"/>
    <col min="257" max="257" width="3.5546875" style="22" hidden="1"/>
    <col min="258" max="258" width="36.5546875" style="22" hidden="1"/>
    <col min="259" max="262" width="14.44140625" style="22" hidden="1"/>
    <col min="263" max="263" width="2.88671875" style="22" hidden="1"/>
    <col min="264" max="511" width="9.109375" style="22" hidden="1"/>
    <col min="512" max="512" width="2.88671875" style="22" hidden="1"/>
    <col min="513" max="513" width="3.5546875" style="22" hidden="1"/>
    <col min="514" max="514" width="36.5546875" style="22" hidden="1"/>
    <col min="515" max="518" width="14.44140625" style="22" hidden="1"/>
    <col min="519" max="519" width="2.88671875" style="22" hidden="1"/>
    <col min="520" max="767" width="9.109375" style="22" hidden="1"/>
    <col min="768" max="768" width="2.88671875" style="22" hidden="1"/>
    <col min="769" max="769" width="3.5546875" style="22" hidden="1"/>
    <col min="770" max="770" width="36.5546875" style="22" hidden="1"/>
    <col min="771" max="774" width="14.44140625" style="22" hidden="1"/>
    <col min="775" max="775" width="2.88671875" style="22" hidden="1"/>
    <col min="776" max="1023" width="9.109375" style="22" hidden="1"/>
    <col min="1024" max="1024" width="2.88671875" style="22" hidden="1"/>
    <col min="1025" max="1025" width="3.5546875" style="22" hidden="1"/>
    <col min="1026" max="1026" width="36.5546875" style="22" hidden="1"/>
    <col min="1027" max="1030" width="14.44140625" style="22" hidden="1"/>
    <col min="1031" max="1031" width="2.88671875" style="22" hidden="1"/>
    <col min="1032" max="1279" width="9.109375" style="22" hidden="1"/>
    <col min="1280" max="1280" width="2.88671875" style="22" hidden="1"/>
    <col min="1281" max="1281" width="3.5546875" style="22" hidden="1"/>
    <col min="1282" max="1282" width="36.5546875" style="22" hidden="1"/>
    <col min="1283" max="1286" width="14.44140625" style="22" hidden="1"/>
    <col min="1287" max="1287" width="2.88671875" style="22" hidden="1"/>
    <col min="1288" max="1535" width="9.109375" style="22" hidden="1"/>
    <col min="1536" max="1536" width="2.88671875" style="22" hidden="1"/>
    <col min="1537" max="1537" width="3.5546875" style="22" hidden="1"/>
    <col min="1538" max="1538" width="36.5546875" style="22" hidden="1"/>
    <col min="1539" max="1542" width="14.44140625" style="22" hidden="1"/>
    <col min="1543" max="1543" width="2.88671875" style="22" hidden="1"/>
    <col min="1544" max="1791" width="9.109375" style="22" hidden="1"/>
    <col min="1792" max="1792" width="2.88671875" style="22" hidden="1"/>
    <col min="1793" max="1793" width="3.5546875" style="22" hidden="1"/>
    <col min="1794" max="1794" width="36.5546875" style="22" hidden="1"/>
    <col min="1795" max="1798" width="14.44140625" style="22" hidden="1"/>
    <col min="1799" max="1799" width="2.88671875" style="22" hidden="1"/>
    <col min="1800" max="2047" width="9.109375" style="22" hidden="1"/>
    <col min="2048" max="2048" width="2.88671875" style="22" hidden="1"/>
    <col min="2049" max="2049" width="3.5546875" style="22" hidden="1"/>
    <col min="2050" max="2050" width="36.5546875" style="22" hidden="1"/>
    <col min="2051" max="2054" width="14.44140625" style="22" hidden="1"/>
    <col min="2055" max="2055" width="2.88671875" style="22" hidden="1"/>
    <col min="2056" max="2303" width="9.109375" style="22" hidden="1"/>
    <col min="2304" max="2304" width="2.88671875" style="22" hidden="1"/>
    <col min="2305" max="2305" width="3.5546875" style="22" hidden="1"/>
    <col min="2306" max="2306" width="36.5546875" style="22" hidden="1"/>
    <col min="2307" max="2310" width="14.44140625" style="22" hidden="1"/>
    <col min="2311" max="2311" width="2.88671875" style="22" hidden="1"/>
    <col min="2312" max="2559" width="9.109375" style="22" hidden="1"/>
    <col min="2560" max="2560" width="2.88671875" style="22" hidden="1"/>
    <col min="2561" max="2561" width="3.5546875" style="22" hidden="1"/>
    <col min="2562" max="2562" width="36.5546875" style="22" hidden="1"/>
    <col min="2563" max="2566" width="14.44140625" style="22" hidden="1"/>
    <col min="2567" max="2567" width="2.88671875" style="22" hidden="1"/>
    <col min="2568" max="2815" width="9.109375" style="22" hidden="1"/>
    <col min="2816" max="2816" width="2.88671875" style="22" hidden="1"/>
    <col min="2817" max="2817" width="3.5546875" style="22" hidden="1"/>
    <col min="2818" max="2818" width="36.5546875" style="22" hidden="1"/>
    <col min="2819" max="2822" width="14.44140625" style="22" hidden="1"/>
    <col min="2823" max="2823" width="2.88671875" style="22" hidden="1"/>
    <col min="2824" max="3071" width="9.109375" style="22" hidden="1"/>
    <col min="3072" max="3072" width="2.88671875" style="22" hidden="1"/>
    <col min="3073" max="3073" width="3.5546875" style="22" hidden="1"/>
    <col min="3074" max="3074" width="36.5546875" style="22" hidden="1"/>
    <col min="3075" max="3078" width="14.44140625" style="22" hidden="1"/>
    <col min="3079" max="3079" width="2.88671875" style="22" hidden="1"/>
    <col min="3080" max="3327" width="9.109375" style="22" hidden="1"/>
    <col min="3328" max="3328" width="2.88671875" style="22" hidden="1"/>
    <col min="3329" max="3329" width="3.5546875" style="22" hidden="1"/>
    <col min="3330" max="3330" width="36.5546875" style="22" hidden="1"/>
    <col min="3331" max="3334" width="14.44140625" style="22" hidden="1"/>
    <col min="3335" max="3335" width="2.88671875" style="22" hidden="1"/>
    <col min="3336" max="3583" width="9.109375" style="22" hidden="1"/>
    <col min="3584" max="3584" width="2.88671875" style="22" hidden="1"/>
    <col min="3585" max="3585" width="3.5546875" style="22" hidden="1"/>
    <col min="3586" max="3586" width="36.5546875" style="22" hidden="1"/>
    <col min="3587" max="3590" width="14.44140625" style="22" hidden="1"/>
    <col min="3591" max="3591" width="2.88671875" style="22" hidden="1"/>
    <col min="3592" max="3839" width="9.109375" style="22" hidden="1"/>
    <col min="3840" max="3840" width="2.88671875" style="22" hidden="1"/>
    <col min="3841" max="3841" width="3.5546875" style="22" hidden="1"/>
    <col min="3842" max="3842" width="36.5546875" style="22" hidden="1"/>
    <col min="3843" max="3846" width="14.44140625" style="22" hidden="1"/>
    <col min="3847" max="3847" width="2.88671875" style="22" hidden="1"/>
    <col min="3848" max="4095" width="9.109375" style="22" hidden="1"/>
    <col min="4096" max="4096" width="2.88671875" style="22" hidden="1"/>
    <col min="4097" max="4097" width="3.5546875" style="22" hidden="1"/>
    <col min="4098" max="4098" width="36.5546875" style="22" hidden="1"/>
    <col min="4099" max="4102" width="14.44140625" style="22" hidden="1"/>
    <col min="4103" max="4103" width="2.88671875" style="22" hidden="1"/>
    <col min="4104" max="4351" width="9.109375" style="22" hidden="1"/>
    <col min="4352" max="4352" width="2.88671875" style="22" hidden="1"/>
    <col min="4353" max="4353" width="3.5546875" style="22" hidden="1"/>
    <col min="4354" max="4354" width="36.5546875" style="22" hidden="1"/>
    <col min="4355" max="4358" width="14.44140625" style="22" hidden="1"/>
    <col min="4359" max="4359" width="2.88671875" style="22" hidden="1"/>
    <col min="4360" max="4607" width="9.109375" style="22" hidden="1"/>
    <col min="4608" max="4608" width="2.88671875" style="22" hidden="1"/>
    <col min="4609" max="4609" width="3.5546875" style="22" hidden="1"/>
    <col min="4610" max="4610" width="36.5546875" style="22" hidden="1"/>
    <col min="4611" max="4614" width="14.44140625" style="22" hidden="1"/>
    <col min="4615" max="4615" width="2.88671875" style="22" hidden="1"/>
    <col min="4616" max="4863" width="9.109375" style="22" hidden="1"/>
    <col min="4864" max="4864" width="2.88671875" style="22" hidden="1"/>
    <col min="4865" max="4865" width="3.5546875" style="22" hidden="1"/>
    <col min="4866" max="4866" width="36.5546875" style="22" hidden="1"/>
    <col min="4867" max="4870" width="14.44140625" style="22" hidden="1"/>
    <col min="4871" max="4871" width="2.88671875" style="22" hidden="1"/>
    <col min="4872" max="5119" width="9.109375" style="22" hidden="1"/>
    <col min="5120" max="5120" width="2.88671875" style="22" hidden="1"/>
    <col min="5121" max="5121" width="3.5546875" style="22" hidden="1"/>
    <col min="5122" max="5122" width="36.5546875" style="22" hidden="1"/>
    <col min="5123" max="5126" width="14.44140625" style="22" hidden="1"/>
    <col min="5127" max="5127" width="2.88671875" style="22" hidden="1"/>
    <col min="5128" max="5375" width="9.109375" style="22" hidden="1"/>
    <col min="5376" max="5376" width="2.88671875" style="22" hidden="1"/>
    <col min="5377" max="5377" width="3.5546875" style="22" hidden="1"/>
    <col min="5378" max="5378" width="36.5546875" style="22" hidden="1"/>
    <col min="5379" max="5382" width="14.44140625" style="22" hidden="1"/>
    <col min="5383" max="5383" width="2.88671875" style="22" hidden="1"/>
    <col min="5384" max="5631" width="9.109375" style="22" hidden="1"/>
    <col min="5632" max="5632" width="2.88671875" style="22" hidden="1"/>
    <col min="5633" max="5633" width="3.5546875" style="22" hidden="1"/>
    <col min="5634" max="5634" width="36.5546875" style="22" hidden="1"/>
    <col min="5635" max="5638" width="14.44140625" style="22" hidden="1"/>
    <col min="5639" max="5639" width="2.88671875" style="22" hidden="1"/>
    <col min="5640" max="5887" width="9.109375" style="22" hidden="1"/>
    <col min="5888" max="5888" width="2.88671875" style="22" hidden="1"/>
    <col min="5889" max="5889" width="3.5546875" style="22" hidden="1"/>
    <col min="5890" max="5890" width="36.5546875" style="22" hidden="1"/>
    <col min="5891" max="5894" width="14.44140625" style="22" hidden="1"/>
    <col min="5895" max="5895" width="2.88671875" style="22" hidden="1"/>
    <col min="5896" max="6143" width="9.109375" style="22" hidden="1"/>
    <col min="6144" max="6144" width="2.88671875" style="22" hidden="1"/>
    <col min="6145" max="6145" width="3.5546875" style="22" hidden="1"/>
    <col min="6146" max="6146" width="36.5546875" style="22" hidden="1"/>
    <col min="6147" max="6150" width="14.44140625" style="22" hidden="1"/>
    <col min="6151" max="6151" width="2.88671875" style="22" hidden="1"/>
    <col min="6152" max="6399" width="9.109375" style="22" hidden="1"/>
    <col min="6400" max="6400" width="2.88671875" style="22" hidden="1"/>
    <col min="6401" max="6401" width="3.5546875" style="22" hidden="1"/>
    <col min="6402" max="6402" width="36.5546875" style="22" hidden="1"/>
    <col min="6403" max="6406" width="14.44140625" style="22" hidden="1"/>
    <col min="6407" max="6407" width="2.88671875" style="22" hidden="1"/>
    <col min="6408" max="6655" width="9.109375" style="22" hidden="1"/>
    <col min="6656" max="6656" width="2.88671875" style="22" hidden="1"/>
    <col min="6657" max="6657" width="3.5546875" style="22" hidden="1"/>
    <col min="6658" max="6658" width="36.5546875" style="22" hidden="1"/>
    <col min="6659" max="6662" width="14.44140625" style="22" hidden="1"/>
    <col min="6663" max="6663" width="2.88671875" style="22" hidden="1"/>
    <col min="6664" max="6911" width="9.109375" style="22" hidden="1"/>
    <col min="6912" max="6912" width="2.88671875" style="22" hidden="1"/>
    <col min="6913" max="6913" width="3.5546875" style="22" hidden="1"/>
    <col min="6914" max="6914" width="36.5546875" style="22" hidden="1"/>
    <col min="6915" max="6918" width="14.44140625" style="22" hidden="1"/>
    <col min="6919" max="6919" width="2.88671875" style="22" hidden="1"/>
    <col min="6920" max="7167" width="9.109375" style="22" hidden="1"/>
    <col min="7168" max="7168" width="2.88671875" style="22" hidden="1"/>
    <col min="7169" max="7169" width="3.5546875" style="22" hidden="1"/>
    <col min="7170" max="7170" width="36.5546875" style="22" hidden="1"/>
    <col min="7171" max="7174" width="14.44140625" style="22" hidden="1"/>
    <col min="7175" max="7175" width="2.88671875" style="22" hidden="1"/>
    <col min="7176" max="7423" width="9.109375" style="22" hidden="1"/>
    <col min="7424" max="7424" width="2.88671875" style="22" hidden="1"/>
    <col min="7425" max="7425" width="3.5546875" style="22" hidden="1"/>
    <col min="7426" max="7426" width="36.5546875" style="22" hidden="1"/>
    <col min="7427" max="7430" width="14.44140625" style="22" hidden="1"/>
    <col min="7431" max="7431" width="2.88671875" style="22" hidden="1"/>
    <col min="7432" max="7679" width="9.109375" style="22" hidden="1"/>
    <col min="7680" max="7680" width="2.88671875" style="22" hidden="1"/>
    <col min="7681" max="7681" width="3.5546875" style="22" hidden="1"/>
    <col min="7682" max="7682" width="36.5546875" style="22" hidden="1"/>
    <col min="7683" max="7686" width="14.44140625" style="22" hidden="1"/>
    <col min="7687" max="7687" width="2.88671875" style="22" hidden="1"/>
    <col min="7688" max="7935" width="9.109375" style="22" hidden="1"/>
    <col min="7936" max="7936" width="2.88671875" style="22" hidden="1"/>
    <col min="7937" max="7937" width="3.5546875" style="22" hidden="1"/>
    <col min="7938" max="7938" width="36.5546875" style="22" hidden="1"/>
    <col min="7939" max="7942" width="14.44140625" style="22" hidden="1"/>
    <col min="7943" max="7943" width="2.88671875" style="22" hidden="1"/>
    <col min="7944" max="8191" width="9.109375" style="22" hidden="1"/>
    <col min="8192" max="8192" width="2.88671875" style="22" hidden="1"/>
    <col min="8193" max="8193" width="3.5546875" style="22" hidden="1"/>
    <col min="8194" max="8194" width="36.5546875" style="22" hidden="1"/>
    <col min="8195" max="8198" width="14.44140625" style="22" hidden="1"/>
    <col min="8199" max="8199" width="2.88671875" style="22" hidden="1"/>
    <col min="8200" max="8447" width="9.109375" style="22" hidden="1"/>
    <col min="8448" max="8448" width="2.88671875" style="22" hidden="1"/>
    <col min="8449" max="8449" width="3.5546875" style="22" hidden="1"/>
    <col min="8450" max="8450" width="36.5546875" style="22" hidden="1"/>
    <col min="8451" max="8454" width="14.44140625" style="22" hidden="1"/>
    <col min="8455" max="8455" width="2.88671875" style="22" hidden="1"/>
    <col min="8456" max="8703" width="9.109375" style="22" hidden="1"/>
    <col min="8704" max="8704" width="2.88671875" style="22" hidden="1"/>
    <col min="8705" max="8705" width="3.5546875" style="22" hidden="1"/>
    <col min="8706" max="8706" width="36.5546875" style="22" hidden="1"/>
    <col min="8707" max="8710" width="14.44140625" style="22" hidden="1"/>
    <col min="8711" max="8711" width="2.88671875" style="22" hidden="1"/>
    <col min="8712" max="8959" width="9.109375" style="22" hidden="1"/>
    <col min="8960" max="8960" width="2.88671875" style="22" hidden="1"/>
    <col min="8961" max="8961" width="3.5546875" style="22" hidden="1"/>
    <col min="8962" max="8962" width="36.5546875" style="22" hidden="1"/>
    <col min="8963" max="8966" width="14.44140625" style="22" hidden="1"/>
    <col min="8967" max="8967" width="2.88671875" style="22" hidden="1"/>
    <col min="8968" max="9215" width="9.109375" style="22" hidden="1"/>
    <col min="9216" max="9216" width="2.88671875" style="22" hidden="1"/>
    <col min="9217" max="9217" width="3.5546875" style="22" hidden="1"/>
    <col min="9218" max="9218" width="36.5546875" style="22" hidden="1"/>
    <col min="9219" max="9222" width="14.44140625" style="22" hidden="1"/>
    <col min="9223" max="9223" width="2.88671875" style="22" hidden="1"/>
    <col min="9224" max="9471" width="9.109375" style="22" hidden="1"/>
    <col min="9472" max="9472" width="2.88671875" style="22" hidden="1"/>
    <col min="9473" max="9473" width="3.5546875" style="22" hidden="1"/>
    <col min="9474" max="9474" width="36.5546875" style="22" hidden="1"/>
    <col min="9475" max="9478" width="14.44140625" style="22" hidden="1"/>
    <col min="9479" max="9479" width="2.88671875" style="22" hidden="1"/>
    <col min="9480" max="9727" width="9.109375" style="22" hidden="1"/>
    <col min="9728" max="9728" width="2.88671875" style="22" hidden="1"/>
    <col min="9729" max="9729" width="3.5546875" style="22" hidden="1"/>
    <col min="9730" max="9730" width="36.5546875" style="22" hidden="1"/>
    <col min="9731" max="9734" width="14.44140625" style="22" hidden="1"/>
    <col min="9735" max="9735" width="2.88671875" style="22" hidden="1"/>
    <col min="9736" max="9983" width="9.109375" style="22" hidden="1"/>
    <col min="9984" max="9984" width="2.88671875" style="22" hidden="1"/>
    <col min="9985" max="9985" width="3.5546875" style="22" hidden="1"/>
    <col min="9986" max="9986" width="36.5546875" style="22" hidden="1"/>
    <col min="9987" max="9990" width="14.44140625" style="22" hidden="1"/>
    <col min="9991" max="9991" width="2.88671875" style="22" hidden="1"/>
    <col min="9992" max="10239" width="9.109375" style="22" hidden="1"/>
    <col min="10240" max="10240" width="2.88671875" style="22" hidden="1"/>
    <col min="10241" max="10241" width="3.5546875" style="22" hidden="1"/>
    <col min="10242" max="10242" width="36.5546875" style="22" hidden="1"/>
    <col min="10243" max="10246" width="14.44140625" style="22" hidden="1"/>
    <col min="10247" max="10247" width="2.88671875" style="22" hidden="1"/>
    <col min="10248" max="10495" width="9.109375" style="22" hidden="1"/>
    <col min="10496" max="10496" width="2.88671875" style="22" hidden="1"/>
    <col min="10497" max="10497" width="3.5546875" style="22" hidden="1"/>
    <col min="10498" max="10498" width="36.5546875" style="22" hidden="1"/>
    <col min="10499" max="10502" width="14.44140625" style="22" hidden="1"/>
    <col min="10503" max="10503" width="2.88671875" style="22" hidden="1"/>
    <col min="10504" max="10751" width="9.109375" style="22" hidden="1"/>
    <col min="10752" max="10752" width="2.88671875" style="22" hidden="1"/>
    <col min="10753" max="10753" width="3.5546875" style="22" hidden="1"/>
    <col min="10754" max="10754" width="36.5546875" style="22" hidden="1"/>
    <col min="10755" max="10758" width="14.44140625" style="22" hidden="1"/>
    <col min="10759" max="10759" width="2.88671875" style="22" hidden="1"/>
    <col min="10760" max="11007" width="9.109375" style="22" hidden="1"/>
    <col min="11008" max="11008" width="2.88671875" style="22" hidden="1"/>
    <col min="11009" max="11009" width="3.5546875" style="22" hidden="1"/>
    <col min="11010" max="11010" width="36.5546875" style="22" hidden="1"/>
    <col min="11011" max="11014" width="14.44140625" style="22" hidden="1"/>
    <col min="11015" max="11015" width="2.88671875" style="22" hidden="1"/>
    <col min="11016" max="11263" width="9.109375" style="22" hidden="1"/>
    <col min="11264" max="11264" width="2.88671875" style="22" hidden="1"/>
    <col min="11265" max="11265" width="3.5546875" style="22" hidden="1"/>
    <col min="11266" max="11266" width="36.5546875" style="22" hidden="1"/>
    <col min="11267" max="11270" width="14.44140625" style="22" hidden="1"/>
    <col min="11271" max="11271" width="2.88671875" style="22" hidden="1"/>
    <col min="11272" max="11519" width="9.109375" style="22" hidden="1"/>
    <col min="11520" max="11520" width="2.88671875" style="22" hidden="1"/>
    <col min="11521" max="11521" width="3.5546875" style="22" hidden="1"/>
    <col min="11522" max="11522" width="36.5546875" style="22" hidden="1"/>
    <col min="11523" max="11526" width="14.44140625" style="22" hidden="1"/>
    <col min="11527" max="11527" width="2.88671875" style="22" hidden="1"/>
    <col min="11528" max="11775" width="9.109375" style="22" hidden="1"/>
    <col min="11776" max="11776" width="2.88671875" style="22" hidden="1"/>
    <col min="11777" max="11777" width="3.5546875" style="22" hidden="1"/>
    <col min="11778" max="11778" width="36.5546875" style="22" hidden="1"/>
    <col min="11779" max="11782" width="14.44140625" style="22" hidden="1"/>
    <col min="11783" max="11783" width="2.88671875" style="22" hidden="1"/>
    <col min="11784" max="12031" width="9.109375" style="22" hidden="1"/>
    <col min="12032" max="12032" width="2.88671875" style="22" hidden="1"/>
    <col min="12033" max="12033" width="3.5546875" style="22" hidden="1"/>
    <col min="12034" max="12034" width="36.5546875" style="22" hidden="1"/>
    <col min="12035" max="12038" width="14.44140625" style="22" hidden="1"/>
    <col min="12039" max="12039" width="2.88671875" style="22" hidden="1"/>
    <col min="12040" max="12287" width="9.109375" style="22" hidden="1"/>
    <col min="12288" max="12288" width="2.88671875" style="22" hidden="1"/>
    <col min="12289" max="12289" width="3.5546875" style="22" hidden="1"/>
    <col min="12290" max="12290" width="36.5546875" style="22" hidden="1"/>
    <col min="12291" max="12294" width="14.44140625" style="22" hidden="1"/>
    <col min="12295" max="12295" width="2.88671875" style="22" hidden="1"/>
    <col min="12296" max="12543" width="9.109375" style="22" hidden="1"/>
    <col min="12544" max="12544" width="2.88671875" style="22" hidden="1"/>
    <col min="12545" max="12545" width="3.5546875" style="22" hidden="1"/>
    <col min="12546" max="12546" width="36.5546875" style="22" hidden="1"/>
    <col min="12547" max="12550" width="14.44140625" style="22" hidden="1"/>
    <col min="12551" max="12551" width="2.88671875" style="22" hidden="1"/>
    <col min="12552" max="12799" width="9.109375" style="22" hidden="1"/>
    <col min="12800" max="12800" width="2.88671875" style="22" hidden="1"/>
    <col min="12801" max="12801" width="3.5546875" style="22" hidden="1"/>
    <col min="12802" max="12802" width="36.5546875" style="22" hidden="1"/>
    <col min="12803" max="12806" width="14.44140625" style="22" hidden="1"/>
    <col min="12807" max="12807" width="2.88671875" style="22" hidden="1"/>
    <col min="12808" max="13055" width="9.109375" style="22" hidden="1"/>
    <col min="13056" max="13056" width="2.88671875" style="22" hidden="1"/>
    <col min="13057" max="13057" width="3.5546875" style="22" hidden="1"/>
    <col min="13058" max="13058" width="36.5546875" style="22" hidden="1"/>
    <col min="13059" max="13062" width="14.44140625" style="22" hidden="1"/>
    <col min="13063" max="13063" width="2.88671875" style="22" hidden="1"/>
    <col min="13064" max="13311" width="9.109375" style="22" hidden="1"/>
    <col min="13312" max="13312" width="2.88671875" style="22" hidden="1"/>
    <col min="13313" max="13313" width="3.5546875" style="22" hidden="1"/>
    <col min="13314" max="13314" width="36.5546875" style="22" hidden="1"/>
    <col min="13315" max="13318" width="14.44140625" style="22" hidden="1"/>
    <col min="13319" max="13319" width="2.88671875" style="22" hidden="1"/>
    <col min="13320" max="13567" width="9.109375" style="22" hidden="1"/>
    <col min="13568" max="13568" width="2.88671875" style="22" hidden="1"/>
    <col min="13569" max="13569" width="3.5546875" style="22" hidden="1"/>
    <col min="13570" max="13570" width="36.5546875" style="22" hidden="1"/>
    <col min="13571" max="13574" width="14.44140625" style="22" hidden="1"/>
    <col min="13575" max="13575" width="2.88671875" style="22" hidden="1"/>
    <col min="13576" max="13823" width="9.109375" style="22" hidden="1"/>
    <col min="13824" max="13824" width="2.88671875" style="22" hidden="1"/>
    <col min="13825" max="13825" width="3.5546875" style="22" hidden="1"/>
    <col min="13826" max="13826" width="36.5546875" style="22" hidden="1"/>
    <col min="13827" max="13830" width="14.44140625" style="22" hidden="1"/>
    <col min="13831" max="13831" width="2.88671875" style="22" hidden="1"/>
    <col min="13832" max="14079" width="9.109375" style="22" hidden="1"/>
    <col min="14080" max="14080" width="2.88671875" style="22" hidden="1"/>
    <col min="14081" max="14081" width="3.5546875" style="22" hidden="1"/>
    <col min="14082" max="14082" width="36.5546875" style="22" hidden="1"/>
    <col min="14083" max="14086" width="14.44140625" style="22" hidden="1"/>
    <col min="14087" max="14087" width="2.88671875" style="22" hidden="1"/>
    <col min="14088" max="14335" width="9.109375" style="22" hidden="1"/>
    <col min="14336" max="14336" width="2.88671875" style="22" hidden="1"/>
    <col min="14337" max="14337" width="3.5546875" style="22" hidden="1"/>
    <col min="14338" max="14338" width="36.5546875" style="22" hidden="1"/>
    <col min="14339" max="14342" width="14.44140625" style="22" hidden="1"/>
    <col min="14343" max="14343" width="2.88671875" style="22" hidden="1"/>
    <col min="14344" max="14591" width="9.109375" style="22" hidden="1"/>
    <col min="14592" max="14592" width="2.88671875" style="22" hidden="1"/>
    <col min="14593" max="14593" width="3.5546875" style="22" hidden="1"/>
    <col min="14594" max="14594" width="36.5546875" style="22" hidden="1"/>
    <col min="14595" max="14598" width="14.44140625" style="22" hidden="1"/>
    <col min="14599" max="14599" width="2.88671875" style="22" hidden="1"/>
    <col min="14600" max="14847" width="9.109375" style="22" hidden="1"/>
    <col min="14848" max="14848" width="2.88671875" style="22" hidden="1"/>
    <col min="14849" max="14849" width="3.5546875" style="22" hidden="1"/>
    <col min="14850" max="14850" width="36.5546875" style="22" hidden="1"/>
    <col min="14851" max="14854" width="14.44140625" style="22" hidden="1"/>
    <col min="14855" max="14855" width="2.88671875" style="22" hidden="1"/>
    <col min="14856" max="15103" width="9.109375" style="22" hidden="1"/>
    <col min="15104" max="15104" width="2.88671875" style="22" hidden="1"/>
    <col min="15105" max="15105" width="3.5546875" style="22" hidden="1"/>
    <col min="15106" max="15106" width="36.5546875" style="22" hidden="1"/>
    <col min="15107" max="15110" width="14.44140625" style="22" hidden="1"/>
    <col min="15111" max="15111" width="2.88671875" style="22" hidden="1"/>
    <col min="15112" max="15359" width="9.109375" style="22" hidden="1"/>
    <col min="15360" max="15360" width="2.88671875" style="22" hidden="1"/>
    <col min="15361" max="15361" width="3.5546875" style="22" hidden="1"/>
    <col min="15362" max="15362" width="36.5546875" style="22" hidden="1"/>
    <col min="15363" max="15366" width="14.44140625" style="22" hidden="1"/>
    <col min="15367" max="15367" width="2.88671875" style="22" hidden="1"/>
    <col min="15368" max="15615" width="9.109375" style="22" hidden="1"/>
    <col min="15616" max="15616" width="2.88671875" style="22" hidden="1"/>
    <col min="15617" max="15617" width="3.5546875" style="22" hidden="1"/>
    <col min="15618" max="15618" width="36.5546875" style="22" hidden="1"/>
    <col min="15619" max="15622" width="14.44140625" style="22" hidden="1"/>
    <col min="15623" max="15623" width="2.88671875" style="22" hidden="1"/>
    <col min="15624" max="15871" width="9.109375" style="22" hidden="1"/>
    <col min="15872" max="15872" width="2.88671875" style="22" hidden="1"/>
    <col min="15873" max="15873" width="3.5546875" style="22" hidden="1"/>
    <col min="15874" max="15874" width="36.5546875" style="22" hidden="1"/>
    <col min="15875" max="15878" width="14.44140625" style="22" hidden="1"/>
    <col min="15879" max="15879" width="2.88671875" style="22" hidden="1"/>
    <col min="15880" max="16127" width="9.109375" style="22" hidden="1"/>
    <col min="16128" max="16128" width="2.88671875" style="22" hidden="1"/>
    <col min="16129" max="16129" width="3.5546875" style="22" hidden="1"/>
    <col min="16130" max="16130" width="36.5546875" style="22" hidden="1"/>
    <col min="16131" max="16134" width="14.44140625" style="22" hidden="1"/>
    <col min="16135" max="16135" width="2.88671875" style="22" hidden="1"/>
    <col min="16136" max="16136" width="14.44140625" style="22" hidden="1"/>
    <col min="16137" max="16137" width="2.88671875" style="22" hidden="1"/>
    <col min="16138" max="16384" width="9.109375" style="22" hidden="1"/>
  </cols>
  <sheetData>
    <row r="3" spans="2:5" ht="32.25" customHeight="1" x14ac:dyDescent="0.3">
      <c r="B3" s="278" t="s">
        <v>132</v>
      </c>
      <c r="C3" s="278"/>
      <c r="D3" s="278"/>
      <c r="E3" s="278"/>
    </row>
    <row r="4" spans="2:5" ht="15" customHeight="1" x14ac:dyDescent="0.3">
      <c r="B4" s="26" t="s">
        <v>133</v>
      </c>
      <c r="C4" s="38"/>
      <c r="D4" s="38"/>
      <c r="E4" s="38"/>
    </row>
    <row r="5" spans="2:5" ht="15" customHeight="1" x14ac:dyDescent="0.3">
      <c r="B5" s="26">
        <f>Derivativos!B3</f>
        <v>0</v>
      </c>
      <c r="C5" s="38"/>
      <c r="D5" s="38"/>
      <c r="E5" s="38"/>
    </row>
    <row r="6" spans="2:5" ht="9" customHeight="1" x14ac:dyDescent="0.3">
      <c r="B6" s="40"/>
      <c r="C6" s="38"/>
      <c r="D6" s="38"/>
      <c r="E6" s="38"/>
    </row>
    <row r="7" spans="2:5" ht="17.25" customHeight="1" x14ac:dyDescent="0.3">
      <c r="B7" s="40"/>
      <c r="C7" s="38"/>
      <c r="D7" s="38"/>
      <c r="E7" s="38"/>
    </row>
    <row r="8" spans="2:5" ht="16.5" customHeight="1" x14ac:dyDescent="0.3">
      <c r="B8" s="39"/>
      <c r="C8" s="38"/>
      <c r="D8" s="38"/>
      <c r="E8" s="41" t="s">
        <v>18</v>
      </c>
    </row>
    <row r="9" spans="2:5" ht="25.5" customHeight="1" x14ac:dyDescent="0.3">
      <c r="B9" s="277" t="s">
        <v>191</v>
      </c>
      <c r="C9" s="277"/>
      <c r="D9" s="277"/>
      <c r="E9" s="277"/>
    </row>
    <row r="10" spans="2:5" ht="16.8" x14ac:dyDescent="0.3">
      <c r="B10" s="39"/>
      <c r="C10" s="42"/>
      <c r="D10" s="42"/>
      <c r="E10" s="77"/>
    </row>
    <row r="11" spans="2:5" ht="25.5" customHeight="1" x14ac:dyDescent="0.3">
      <c r="B11" s="52"/>
      <c r="C11" s="53" t="s">
        <v>135</v>
      </c>
      <c r="D11" s="78">
        <f>Derivativos!D8</f>
        <v>46022</v>
      </c>
      <c r="E11" s="78">
        <f>Derivativos!F8</f>
        <v>45930</v>
      </c>
    </row>
    <row r="12" spans="2:5" ht="18" customHeight="1" x14ac:dyDescent="0.3">
      <c r="B12" s="79">
        <v>1</v>
      </c>
      <c r="C12" s="80" t="s">
        <v>141</v>
      </c>
      <c r="D12" s="23">
        <f>SUM(D13:D20)</f>
        <v>0</v>
      </c>
      <c r="E12" s="23">
        <f>SUM(E13:E20)</f>
        <v>0</v>
      </c>
    </row>
    <row r="13" spans="2:5" ht="26.4" x14ac:dyDescent="0.3">
      <c r="B13" s="81" t="s">
        <v>25</v>
      </c>
      <c r="C13" s="82" t="s">
        <v>192</v>
      </c>
      <c r="D13" s="45"/>
      <c r="E13" s="45"/>
    </row>
    <row r="14" spans="2:5" ht="26.4" x14ac:dyDescent="0.3">
      <c r="B14" s="81" t="s">
        <v>121</v>
      </c>
      <c r="C14" s="82" t="s">
        <v>193</v>
      </c>
      <c r="D14" s="31"/>
      <c r="E14" s="31"/>
    </row>
    <row r="15" spans="2:5" ht="26.4" x14ac:dyDescent="0.3">
      <c r="B15" s="81" t="s">
        <v>123</v>
      </c>
      <c r="C15" s="82" t="s">
        <v>194</v>
      </c>
      <c r="D15" s="31"/>
      <c r="E15" s="31"/>
    </row>
    <row r="16" spans="2:5" ht="26.4" x14ac:dyDescent="0.3">
      <c r="B16" s="81" t="s">
        <v>125</v>
      </c>
      <c r="C16" s="82" t="s">
        <v>195</v>
      </c>
      <c r="D16" s="31"/>
      <c r="E16" s="31"/>
    </row>
    <row r="17" spans="2:5" ht="26.4" x14ac:dyDescent="0.3">
      <c r="B17" s="81" t="s">
        <v>196</v>
      </c>
      <c r="C17" s="82" t="s">
        <v>197</v>
      </c>
      <c r="D17" s="45"/>
      <c r="E17" s="45"/>
    </row>
    <row r="18" spans="2:5" ht="26.4" x14ac:dyDescent="0.3">
      <c r="B18" s="81" t="s">
        <v>198</v>
      </c>
      <c r="C18" s="82" t="s">
        <v>199</v>
      </c>
      <c r="D18" s="31"/>
      <c r="E18" s="31"/>
    </row>
    <row r="19" spans="2:5" ht="26.4" x14ac:dyDescent="0.3">
      <c r="B19" s="81" t="s">
        <v>200</v>
      </c>
      <c r="C19" s="82" t="s">
        <v>201</v>
      </c>
      <c r="D19" s="31"/>
      <c r="E19" s="31"/>
    </row>
    <row r="20" spans="2:5" ht="26.4" x14ac:dyDescent="0.3">
      <c r="B20" s="81" t="s">
        <v>202</v>
      </c>
      <c r="C20" s="82" t="s">
        <v>203</v>
      </c>
      <c r="D20" s="31"/>
      <c r="E20" s="31"/>
    </row>
    <row r="21" spans="2:5" ht="18" customHeight="1" x14ac:dyDescent="0.3">
      <c r="B21" s="79">
        <v>2</v>
      </c>
      <c r="C21" s="80" t="s">
        <v>140</v>
      </c>
      <c r="D21" s="83">
        <f>SUM(D22:D29)</f>
        <v>0</v>
      </c>
      <c r="E21" s="83">
        <f>SUM(E22:E29)</f>
        <v>0</v>
      </c>
    </row>
    <row r="22" spans="2:5" ht="26.4" x14ac:dyDescent="0.3">
      <c r="B22" s="81" t="s">
        <v>28</v>
      </c>
      <c r="C22" s="82" t="s">
        <v>192</v>
      </c>
      <c r="D22" s="31"/>
      <c r="E22" s="31"/>
    </row>
    <row r="23" spans="2:5" ht="26.4" x14ac:dyDescent="0.3">
      <c r="B23" s="81" t="s">
        <v>83</v>
      </c>
      <c r="C23" s="82" t="s">
        <v>193</v>
      </c>
      <c r="D23" s="31"/>
      <c r="E23" s="31"/>
    </row>
    <row r="24" spans="2:5" ht="26.4" x14ac:dyDescent="0.3">
      <c r="B24" s="81" t="s">
        <v>176</v>
      </c>
      <c r="C24" s="82" t="s">
        <v>194</v>
      </c>
      <c r="D24" s="31"/>
      <c r="E24" s="31"/>
    </row>
    <row r="25" spans="2:5" ht="26.4" x14ac:dyDescent="0.3">
      <c r="B25" s="81" t="s">
        <v>178</v>
      </c>
      <c r="C25" s="82" t="s">
        <v>195</v>
      </c>
      <c r="D25" s="31"/>
      <c r="E25" s="31"/>
    </row>
    <row r="26" spans="2:5" ht="26.4" x14ac:dyDescent="0.3">
      <c r="B26" s="81" t="s">
        <v>204</v>
      </c>
      <c r="C26" s="82" t="s">
        <v>197</v>
      </c>
      <c r="D26" s="45"/>
      <c r="E26" s="45"/>
    </row>
    <row r="27" spans="2:5" ht="26.4" x14ac:dyDescent="0.3">
      <c r="B27" s="81" t="s">
        <v>205</v>
      </c>
      <c r="C27" s="82" t="s">
        <v>199</v>
      </c>
      <c r="D27" s="31"/>
      <c r="E27" s="31"/>
    </row>
    <row r="28" spans="2:5" ht="26.4" x14ac:dyDescent="0.3">
      <c r="B28" s="81" t="s">
        <v>206</v>
      </c>
      <c r="C28" s="82" t="s">
        <v>201</v>
      </c>
      <c r="D28" s="31"/>
      <c r="E28" s="31"/>
    </row>
    <row r="29" spans="2:5" ht="26.4" x14ac:dyDescent="0.3">
      <c r="B29" s="81" t="s">
        <v>207</v>
      </c>
      <c r="C29" s="82" t="s">
        <v>203</v>
      </c>
      <c r="D29" s="31"/>
      <c r="E29" s="31"/>
    </row>
    <row r="30" spans="2:5" ht="18" customHeight="1" x14ac:dyDescent="0.3">
      <c r="B30" s="79">
        <v>3</v>
      </c>
      <c r="C30" s="80" t="s">
        <v>138</v>
      </c>
      <c r="D30" s="23">
        <f>SUM(D31:D38)</f>
        <v>0</v>
      </c>
      <c r="E30" s="23">
        <f>SUM(E31:E38)</f>
        <v>0</v>
      </c>
    </row>
    <row r="31" spans="2:5" ht="26.4" x14ac:dyDescent="0.3">
      <c r="B31" s="81" t="s">
        <v>31</v>
      </c>
      <c r="C31" s="82" t="s">
        <v>192</v>
      </c>
      <c r="D31" s="31"/>
      <c r="E31" s="31"/>
    </row>
    <row r="32" spans="2:5" ht="26.4" x14ac:dyDescent="0.3">
      <c r="B32" s="81" t="s">
        <v>33</v>
      </c>
      <c r="C32" s="82" t="s">
        <v>193</v>
      </c>
      <c r="D32" s="31"/>
      <c r="E32" s="31"/>
    </row>
    <row r="33" spans="2:5" ht="26.4" x14ac:dyDescent="0.3">
      <c r="B33" s="81" t="s">
        <v>37</v>
      </c>
      <c r="C33" s="82" t="s">
        <v>194</v>
      </c>
      <c r="D33" s="31"/>
      <c r="E33" s="31"/>
    </row>
    <row r="34" spans="2:5" ht="26.4" x14ac:dyDescent="0.3">
      <c r="B34" s="81" t="s">
        <v>208</v>
      </c>
      <c r="C34" s="82" t="s">
        <v>195</v>
      </c>
      <c r="D34" s="31"/>
      <c r="E34" s="31"/>
    </row>
    <row r="35" spans="2:5" ht="26.4" x14ac:dyDescent="0.3">
      <c r="B35" s="81" t="s">
        <v>209</v>
      </c>
      <c r="C35" s="82" t="s">
        <v>197</v>
      </c>
      <c r="D35" s="31"/>
      <c r="E35" s="31"/>
    </row>
    <row r="36" spans="2:5" ht="26.4" x14ac:dyDescent="0.3">
      <c r="B36" s="81" t="s">
        <v>210</v>
      </c>
      <c r="C36" s="82" t="s">
        <v>199</v>
      </c>
      <c r="D36" s="31"/>
      <c r="E36" s="31"/>
    </row>
    <row r="37" spans="2:5" ht="26.4" x14ac:dyDescent="0.3">
      <c r="B37" s="81" t="s">
        <v>211</v>
      </c>
      <c r="C37" s="82" t="s">
        <v>201</v>
      </c>
      <c r="D37" s="31"/>
      <c r="E37" s="31"/>
    </row>
    <row r="38" spans="2:5" ht="26.4" x14ac:dyDescent="0.3">
      <c r="B38" s="81" t="s">
        <v>212</v>
      </c>
      <c r="C38" s="82" t="s">
        <v>203</v>
      </c>
      <c r="D38" s="31"/>
      <c r="E38" s="31"/>
    </row>
    <row r="39" spans="2:5" ht="18" customHeight="1" x14ac:dyDescent="0.3">
      <c r="B39" s="79">
        <v>4</v>
      </c>
      <c r="C39" s="80" t="s">
        <v>142</v>
      </c>
      <c r="D39" s="83">
        <f>SUM(D40:D47)</f>
        <v>0</v>
      </c>
      <c r="E39" s="83">
        <f>SUM(E40:E47)</f>
        <v>0</v>
      </c>
    </row>
    <row r="40" spans="2:5" ht="26.4" x14ac:dyDescent="0.3">
      <c r="B40" s="81" t="s">
        <v>213</v>
      </c>
      <c r="C40" s="82" t="s">
        <v>192</v>
      </c>
      <c r="D40" s="31"/>
      <c r="E40" s="31"/>
    </row>
    <row r="41" spans="2:5" ht="26.4" x14ac:dyDescent="0.3">
      <c r="B41" s="81" t="s">
        <v>39</v>
      </c>
      <c r="C41" s="82" t="s">
        <v>193</v>
      </c>
      <c r="D41" s="31"/>
      <c r="E41" s="31"/>
    </row>
    <row r="42" spans="2:5" ht="26.4" x14ac:dyDescent="0.3">
      <c r="B42" s="81" t="s">
        <v>214</v>
      </c>
      <c r="C42" s="82" t="s">
        <v>194</v>
      </c>
      <c r="D42" s="31"/>
      <c r="E42" s="31"/>
    </row>
    <row r="43" spans="2:5" ht="26.4" x14ac:dyDescent="0.3">
      <c r="B43" s="81" t="s">
        <v>215</v>
      </c>
      <c r="C43" s="82" t="s">
        <v>195</v>
      </c>
      <c r="D43" s="31"/>
      <c r="E43" s="31"/>
    </row>
    <row r="44" spans="2:5" ht="26.4" x14ac:dyDescent="0.3">
      <c r="B44" s="81" t="s">
        <v>216</v>
      </c>
      <c r="C44" s="82" t="s">
        <v>197</v>
      </c>
      <c r="D44" s="45"/>
      <c r="E44" s="45"/>
    </row>
    <row r="45" spans="2:5" ht="26.4" x14ac:dyDescent="0.3">
      <c r="B45" s="81" t="s">
        <v>217</v>
      </c>
      <c r="C45" s="82" t="s">
        <v>199</v>
      </c>
      <c r="D45" s="31"/>
      <c r="E45" s="31"/>
    </row>
    <row r="46" spans="2:5" ht="26.4" x14ac:dyDescent="0.3">
      <c r="B46" s="81" t="s">
        <v>218</v>
      </c>
      <c r="C46" s="82" t="s">
        <v>201</v>
      </c>
      <c r="D46" s="31"/>
      <c r="E46" s="31"/>
    </row>
    <row r="47" spans="2:5" ht="26.4" x14ac:dyDescent="0.3">
      <c r="B47" s="81" t="s">
        <v>219</v>
      </c>
      <c r="C47" s="82" t="s">
        <v>203</v>
      </c>
      <c r="D47" s="31"/>
      <c r="E47" s="31"/>
    </row>
    <row r="49" spans="2:2" ht="12.75" customHeight="1" x14ac:dyDescent="0.3">
      <c r="B49" s="61" t="s">
        <v>220</v>
      </c>
    </row>
  </sheetData>
  <mergeCells count="2">
    <mergeCell ref="B9:E9"/>
    <mergeCell ref="B3:E3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## Restrito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36DECA17174D4892E160D348F60DAB" ma:contentTypeVersion="12" ma:contentTypeDescription="Crie um novo documento." ma:contentTypeScope="" ma:versionID="9bb6ef2997076732864bb34e7d86d853">
  <xsd:schema xmlns:xsd="http://www.w3.org/2001/XMLSchema" xmlns:xs="http://www.w3.org/2001/XMLSchema" xmlns:p="http://schemas.microsoft.com/office/2006/metadata/properties" xmlns:ns2="f1f8118c-d833-418e-84c0-1d8b925aa5c9" xmlns:ns3="e6e3e817-969f-4442-a129-337b689af9fb" targetNamespace="http://schemas.microsoft.com/office/2006/metadata/properties" ma:root="true" ma:fieldsID="d0a0235a943260fc9bd713dd8e191281" ns2:_="" ns3:_="">
    <xsd:import namespace="f1f8118c-d833-418e-84c0-1d8b925aa5c9"/>
    <xsd:import namespace="e6e3e817-969f-4442-a129-337b689af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8118c-d833-418e-84c0-1d8b925aa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3e817-969f-4442-a129-337b689af9f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2e8e05f-f1f6-4629-b2be-83c60ba0ff6a}" ma:internalName="TaxCatchAll" ma:showField="CatchAllData" ma:web="e6e3e817-969f-4442-a129-337b689af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8118c-d833-418e-84c0-1d8b925aa5c9">
      <Terms xmlns="http://schemas.microsoft.com/office/infopath/2007/PartnerControls"/>
    </lcf76f155ced4ddcb4097134ff3c332f>
    <TaxCatchAll xmlns="e6e3e817-969f-4442-a129-337b689af9fb" xsi:nil="true"/>
  </documentManagement>
</p:properties>
</file>

<file path=customXml/itemProps1.xml><?xml version="1.0" encoding="utf-8"?>
<ds:datastoreItem xmlns:ds="http://schemas.openxmlformats.org/officeDocument/2006/customXml" ds:itemID="{76D64C13-B2C0-4090-97D3-7D0C22BDFB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FB4356-09BC-4FEB-B5C3-3F9DEBE70A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8118c-d833-418e-84c0-1d8b925aa5c9"/>
    <ds:schemaRef ds:uri="e6e3e817-969f-4442-a129-337b689af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917E1-0DBD-409A-AA7E-BBD4B67C6D5A}">
  <ds:schemaRefs>
    <ds:schemaRef ds:uri="http://schemas.microsoft.com/office/2006/metadata/properties"/>
    <ds:schemaRef ds:uri="http://schemas.microsoft.com/office/infopath/2007/PartnerControls"/>
    <ds:schemaRef ds:uri="f1f8118c-d833-418e-84c0-1d8b925aa5c9"/>
    <ds:schemaRef ds:uri="e6e3e817-969f-4442-a129-337b689af9fb"/>
  </ds:schemaRefs>
</ds:datastoreItem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Índice</vt:lpstr>
      <vt:lpstr>KM1</vt:lpstr>
      <vt:lpstr>OV1</vt:lpstr>
      <vt:lpstr>CR1</vt:lpstr>
      <vt:lpstr>CR2</vt:lpstr>
      <vt:lpstr>CRB</vt:lpstr>
      <vt:lpstr>MR1</vt:lpstr>
      <vt:lpstr>Derivativos</vt:lpstr>
      <vt:lpstr>IRRBB1</vt:lpstr>
      <vt:lpstr>OR1</vt:lpstr>
      <vt:lpstr>OR2</vt:lpstr>
      <vt:lpstr>OR3</vt:lpstr>
      <vt:lpstr>Derivativos 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Gomes de Medeiros</dc:creator>
  <cp:keywords/>
  <dc:description/>
  <cp:lastModifiedBy>Cleber Ricardo Correia Silva</cp:lastModifiedBy>
  <cp:revision/>
  <dcterms:created xsi:type="dcterms:W3CDTF">2020-05-27T17:20:44Z</dcterms:created>
  <dcterms:modified xsi:type="dcterms:W3CDTF">2026-03-30T19:31:32Z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0x0101003A36DECA17174D4892E160D348F60DAB</vt:lpwstr>
  </property>
  <property fmtid="{D5CDD505-2E9C-101B-9397-08002B2CF9AE}" pid="10" name="MediaServiceImageTags">
    <vt:lpwstr/>
  </property>
  <property fmtid="{D5CDD505-2E9C-101B-9397-08002B2CF9AE}" pid="11" name="MSIP_Label_85c006d6-88a8-4a5c-96b2-cc940f14aa63_Enabled">
    <vt:lpwstr>true</vt:lpwstr>
  </property>
  <property fmtid="{D5CDD505-2E9C-101B-9397-08002B2CF9AE}" pid="12" name="MSIP_Label_85c006d6-88a8-4a5c-96b2-cc940f14aa63_SetDate">
    <vt:lpwstr>2026-03-24T13:25:39Z</vt:lpwstr>
  </property>
  <property fmtid="{D5CDD505-2E9C-101B-9397-08002B2CF9AE}" pid="13" name="MSIP_Label_85c006d6-88a8-4a5c-96b2-cc940f14aa63_Method">
    <vt:lpwstr>Privileged</vt:lpwstr>
  </property>
  <property fmtid="{D5CDD505-2E9C-101B-9397-08002B2CF9AE}" pid="14" name="MSIP_Label_85c006d6-88a8-4a5c-96b2-cc940f14aa63_Name">
    <vt:lpwstr>## Restrito ##</vt:lpwstr>
  </property>
  <property fmtid="{D5CDD505-2E9C-101B-9397-08002B2CF9AE}" pid="15" name="MSIP_Label_85c006d6-88a8-4a5c-96b2-cc940f14aa63_SiteId">
    <vt:lpwstr>4a4209d3-9118-401b-997d-7257d66418f0</vt:lpwstr>
  </property>
  <property fmtid="{D5CDD505-2E9C-101B-9397-08002B2CF9AE}" pid="16" name="MSIP_Label_85c006d6-88a8-4a5c-96b2-cc940f14aa63_ActionId">
    <vt:lpwstr>34fd9dcb-8640-4b4e-aca1-2599da6083e8</vt:lpwstr>
  </property>
  <property fmtid="{D5CDD505-2E9C-101B-9397-08002B2CF9AE}" pid="17" name="MSIP_Label_85c006d6-88a8-4a5c-96b2-cc940f14aa63_ContentBits">
    <vt:lpwstr>1</vt:lpwstr>
  </property>
  <property fmtid="{D5CDD505-2E9C-101B-9397-08002B2CF9AE}" pid="18" name="MSIP_Label_85c006d6-88a8-4a5c-96b2-cc940f14aa63_Tag">
    <vt:lpwstr>10, 0, 1, 1</vt:lpwstr>
  </property>
</Properties>
</file>